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D:\work\gitlab\fw-prog-filter\Documents\"/>
    </mc:Choice>
  </mc:AlternateContent>
  <xr:revisionPtr revIDLastSave="0" documentId="13_ncr:1_{934CBCDC-56CC-4C39-B46A-98701D47FC39}" xr6:coauthVersionLast="47" xr6:coauthVersionMax="47" xr10:uidLastSave="{00000000-0000-0000-0000-000000000000}"/>
  <bookViews>
    <workbookView xWindow="26415" yWindow="465" windowWidth="22860" windowHeight="19680" xr2:uid="{00000000-000D-0000-FFFF-FFFF00000000}"/>
  </bookViews>
  <sheets>
    <sheet name="Registers" sheetId="25" r:id="rId1"/>
    <sheet name="Common" sheetId="16"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0" i="25" l="1"/>
  <c r="L71" i="25"/>
  <c r="F10" i="25"/>
  <c r="F9" i="25"/>
  <c r="F8" i="25"/>
  <c r="L74" i="25" l="1"/>
  <c r="L73" i="25"/>
  <c r="L72" i="25"/>
  <c r="K81" i="25"/>
  <c r="L81" i="25"/>
  <c r="K64" i="25"/>
  <c r="K63" i="25"/>
  <c r="I63" i="25"/>
  <c r="I64" i="25" s="1"/>
  <c r="L65" i="25"/>
  <c r="L64" i="25"/>
  <c r="L63" i="25"/>
  <c r="I65" i="25" l="1"/>
  <c r="I66" i="25" l="1"/>
  <c r="K66" i="25" s="1"/>
  <c r="K65" i="25"/>
  <c r="I67" i="25"/>
  <c r="K67" i="25" s="1"/>
  <c r="I68" i="25" l="1"/>
  <c r="K68" i="25" s="1"/>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L29" i="25"/>
  <c r="F7" i="25"/>
  <c r="F12" i="25"/>
  <c r="I69" i="25" l="1"/>
  <c r="K69" i="25" s="1"/>
  <c r="I59" i="25"/>
  <c r="I60" i="25" s="1"/>
  <c r="K60" i="25" s="1"/>
  <c r="K44" i="25"/>
  <c r="K56" i="25"/>
  <c r="K53" i="25"/>
  <c r="K49" i="25"/>
  <c r="K57" i="25"/>
  <c r="K48" i="25"/>
  <c r="K58" i="25"/>
  <c r="K50" i="25"/>
  <c r="K55" i="25"/>
  <c r="K47" i="25"/>
  <c r="K54" i="25"/>
  <c r="K46" i="25"/>
  <c r="K45" i="25"/>
  <c r="K52" i="25"/>
  <c r="K59" i="25"/>
  <c r="K51" i="25"/>
  <c r="L39" i="25"/>
  <c r="L38" i="25"/>
  <c r="L36" i="25"/>
  <c r="L35" i="25"/>
  <c r="L34" i="25"/>
  <c r="L33" i="25"/>
  <c r="L28" i="25"/>
  <c r="L27" i="25"/>
  <c r="L20" i="25"/>
  <c r="L19" i="25"/>
  <c r="L18" i="25"/>
  <c r="K38" i="25"/>
  <c r="K33" i="25"/>
  <c r="I70" i="25" l="1"/>
  <c r="I71" i="25" s="1"/>
  <c r="I39" i="25"/>
  <c r="K71" i="25" l="1"/>
  <c r="I72" i="25"/>
  <c r="I73" i="25" s="1"/>
  <c r="K70" i="25"/>
  <c r="K39" i="25"/>
  <c r="K72" i="25" l="1"/>
  <c r="I18" i="25"/>
  <c r="I74" i="25" l="1"/>
  <c r="K73" i="25"/>
  <c r="K18" i="25"/>
  <c r="I19" i="25"/>
  <c r="I20" i="25" s="1"/>
  <c r="I21" i="25" s="1"/>
  <c r="I75" i="25" l="1"/>
  <c r="K74" i="25"/>
  <c r="I22" i="25"/>
  <c r="K21" i="25"/>
  <c r="K19" i="25"/>
  <c r="I34" i="25"/>
  <c r="K34" i="25" s="1"/>
  <c r="I76" i="25" l="1"/>
  <c r="K75" i="25"/>
  <c r="I23" i="25"/>
  <c r="K22" i="25"/>
  <c r="K20" i="25"/>
  <c r="I35" i="25"/>
  <c r="I77" i="25" l="1"/>
  <c r="K76" i="25"/>
  <c r="K23" i="25"/>
  <c r="I24" i="25"/>
  <c r="K24" i="25" s="1"/>
  <c r="I25" i="25"/>
  <c r="I36" i="25"/>
  <c r="K36" i="25" s="1"/>
  <c r="K35" i="25"/>
  <c r="I78" i="25" l="1"/>
  <c r="K78" i="25" s="1"/>
  <c r="K77" i="25"/>
  <c r="I26" i="25"/>
  <c r="K25" i="25"/>
  <c r="I27" i="25" l="1"/>
  <c r="K26" i="25"/>
  <c r="I28" i="25" l="1"/>
  <c r="K27" i="25"/>
  <c r="I29" i="25" l="1"/>
  <c r="K29" i="25" s="1"/>
  <c r="K28" i="25"/>
</calcChain>
</file>

<file path=xl/sharedStrings.xml><?xml version="1.0" encoding="utf-8"?>
<sst xmlns="http://schemas.openxmlformats.org/spreadsheetml/2006/main" count="456" uniqueCount="285">
  <si>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</si>
  <si>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</si>
  <si>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</si>
  <si>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</si>
  <si>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</si>
  <si>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</si>
  <si>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</si>
  <si>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</si>
  <si>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</si>
  <si>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</si>
  <si>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</si>
  <si>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</si>
  <si>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</si>
  <si>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</si>
  <si>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</si>
  <si>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</si>
  <si>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</si>
  <si>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</si>
  <si>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</si>
  <si>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</si>
  <si>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</si>
  <si>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</si>
  <si>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</si>
  <si>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</si>
  <si>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</si>
  <si>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</si>
  <si>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</si>
  <si>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</si>
  <si>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</si>
  <si>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</si>
  <si>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</si>
  <si>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</si>
  <si>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</si>
  <si>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</si>
  <si>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</si>
  <si>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</si>
  <si>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</si>
  <si>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</si>
  <si>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</si>
  <si>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</si>
  <si>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</si>
  <si>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</si>
  <si>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</si>
  <si>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</si>
  <si>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</si>
  <si>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</si>
  <si>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</si>
  <si>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</si>
  <si>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</si>
  <si>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</si>
  <si>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</si>
  <si>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</si>
  <si>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</si>
  <si>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</si>
  <si>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</si>
  <si>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</si>
  <si>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</si>
  <si>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</si>
  <si>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</si>
  <si>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</si>
  <si>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</si>
  <si>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</si>
  <si>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</si>
  <si>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</si>
  <si>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</si>
  <si>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</si>
  <si>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</si>
  <si>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</si>
  <si>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</si>
  <si>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</si>
  <si>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</si>
  <si>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</si>
  <si>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</si>
  <si>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</si>
  <si>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</si>
  <si>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</si>
  <si>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</si>
  <si>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</si>
  <si>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</si>
  <si>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</si>
  <si>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</si>
  <si>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</si>
  <si>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</si>
  <si>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</si>
  <si>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</si>
  <si>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</si>
  <si>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</si>
  <si>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</si>
  <si>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</si>
  <si>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</si>
  <si>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</si>
  <si>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</si>
  <si>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</si>
  <si>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</si>
  <si>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</si>
  <si>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</si>
  <si>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</si>
  <si>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</si>
  <si>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</si>
  <si>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</si>
  <si>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</si>
  <si>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</si>
  <si>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</si>
  <si>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</si>
  <si>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</si>
  <si>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</si>
  <si>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</si>
  <si>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</si>
  <si>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</si>
  <si>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</si>
  <si>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</si>
  <si>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</si>
  <si>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</si>
  <si>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</si>
  <si>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</si>
  <si>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</si>
  <si>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</si>
  <si>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</si>
  <si>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</si>
  <si>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</si>
  <si>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</si>
  <si>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</si>
  <si>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</si>
  <si>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</si>
  <si>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</si>
  <si>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</si>
  <si>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</si>
  <si>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</si>
  <si>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</si>
  <si>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</si>
  <si>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</si>
  <si>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</si>
  <si>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</si>
  <si>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</si>
  <si>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</si>
  <si>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</si>
  <si>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</si>
  <si>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</si>
  <si>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</si>
  <si>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</si>
  <si>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</si>
  <si>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</si>
  <si>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</si>
  <si>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</si>
  <si>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</si>
  <si>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</si>
  <si>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</si>
  <si>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</si>
  <si>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</si>
  <si>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</si>
  <si>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</si>
  <si>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</si>
  <si>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</si>
  <si>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</si>
  <si>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</si>
  <si>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</si>
  <si>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</si>
  <si>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</si>
  <si>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</si>
  <si>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</si>
  <si>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</si>
  <si>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</si>
  <si>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</si>
  <si>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</si>
  <si>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</si>
  <si>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</si>
  <si>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</si>
  <si>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</si>
  <si>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</si>
  <si>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</si>
  <si>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</si>
  <si>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</si>
  <si>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</si>
  <si>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</si>
  <si>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</si>
  <si>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</si>
  <si>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</si>
  <si>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</si>
  <si>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</si>
  <si>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</si>
  <si>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</si>
  <si>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</si>
  <si>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</si>
  <si>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</si>
  <si>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</si>
  <si>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</si>
  <si>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</si>
  <si>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</si>
  <si>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</si>
  <si>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</si>
  <si>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</si>
  <si>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</si>
  <si>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</si>
  <si>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</si>
  <si>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</si>
  <si>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</si>
  <si>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</si>
  <si>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</si>
  <si>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</si>
  <si>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</si>
  <si>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</si>
  <si>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</si>
  <si>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</si>
  <si>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</si>
  <si>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</si>
  <si>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</si>
  <si>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</si>
  <si>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</si>
  <si>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</si>
  <si>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</si>
  <si>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</si>
  <si>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</si>
  <si>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</si>
  <si>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</si>
  <si>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</si>
  <si>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</si>
  <si>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</si>
  <si>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</si>
  <si>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</si>
  <si>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</si>
  <si>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</si>
  <si>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</si>
  <si>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</si>
  <si>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</si>
  <si>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</si>
  <si>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</si>
  <si>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</si>
  <si>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</si>
  <si>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</si>
  <si>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</si>
  <si>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</si>
  <si>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</si>
  <si>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</si>
  <si>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</si>
  <si>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</si>
  <si>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</si>
  <si>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</si>
  <si>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</si>
  <si>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PF</t>
  </si>
  <si>
    <t>PF_SIMULATOR</t>
  </si>
  <si>
    <t>PF simulation registers</t>
  </si>
  <si>
    <t>CUTOFF_LP</t>
  </si>
  <si>
    <t>LP cutoff frequency</t>
  </si>
  <si>
    <t>kHz</t>
  </si>
  <si>
    <t>Set cutoff frequency of low pass filter</t>
  </si>
  <si>
    <t>HP cutoff frequency</t>
  </si>
  <si>
    <t>Hz</t>
  </si>
  <si>
    <t>Set cutoff frequency of high pass filter</t>
  </si>
  <si>
    <t>Filters mode</t>
  </si>
  <si>
    <t>PF_BP</t>
  </si>
  <si>
    <t>PF_LP</t>
  </si>
  <si>
    <t>PF_HP</t>
  </si>
  <si>
    <t>CUTOFF_HP</t>
  </si>
  <si>
    <t>PF_NP</t>
  </si>
  <si>
    <t>RESET</t>
  </si>
  <si>
    <t>Reset filters</t>
  </si>
  <si>
    <t>Write 0 for reset. Switches off the power supply to the filters for 100ms.</t>
  </si>
  <si>
    <t>Reserve for future use</t>
  </si>
  <si>
    <t>DEF_CUTOFF_LP</t>
  </si>
  <si>
    <t>DEF_CUTOFF_HP</t>
  </si>
  <si>
    <t>DEF_MODE</t>
  </si>
  <si>
    <t>Default HP cutoff f</t>
  </si>
  <si>
    <t>Default LP cutoff f</t>
  </si>
  <si>
    <t>Default cutoff frequency of low pass filter after power on</t>
  </si>
  <si>
    <t>Default cutoff frequency of high pass filter after power on</t>
  </si>
  <si>
    <t>Mode of filter band</t>
  </si>
  <si>
    <t>Default mode of filter band</t>
  </si>
  <si>
    <t>Low pass filter</t>
  </si>
  <si>
    <t>High pass filter with 100 kHz low pass</t>
  </si>
  <si>
    <t>Band pass filter</t>
  </si>
  <si>
    <t>No filter</t>
  </si>
  <si>
    <t>Low pass</t>
  </si>
  <si>
    <t>High pass</t>
  </si>
  <si>
    <t>Band pass</t>
  </si>
  <si>
    <t>D:\work\gitlab\fw-prog-filter\Documents\txts\PFSim_Define.txt</t>
  </si>
  <si>
    <t>D:\work\gitlab\fw-prog-filter\Documents\txts\PFSim_Storage.txt</t>
  </si>
  <si>
    <t>D:\work\gitlab\fw-prog-filter\Documents\txts\PFSim_Factory.txt</t>
  </si>
  <si>
    <t>D:\work\gitlab\fw-prog-filter\Documents\txts\reg_map.c</t>
  </si>
  <si>
    <t>D:\work\gitlab\fw-prog-filter\Documents\txts\PFSim_Modbus.json</t>
  </si>
  <si>
    <t>D:\work\gitlab\fw-prog-filter\Documents\txts\PFSimRegs.py</t>
  </si>
  <si>
    <t>D:\work\gitlab\fw-prog-filter\Documents\txts\PFSim_registers.json</t>
  </si>
  <si>
    <t>DEF_LP</t>
  </si>
  <si>
    <t>DEF_HP</t>
  </si>
  <si>
    <t>DEF_BP</t>
  </si>
  <si>
    <t>DEF_NP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</si>
</sst>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9">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2" fillId="2" borderId="0" xfId="0" applyFont="1" applyFill="1" applyAlignment="1">
      <alignment horizontal="left"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0" fillId="0" borderId="0" xfId="0" applyFont="1"/>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51"/>
  <sheetViews>
    <sheetView tabSelected="1" zoomScale="89" zoomScaleNormal="100" workbookViewId="0">
      <selection activeCell="L59" sqref="L59"/>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24.285156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277</v>
      </c>
      <c r="T3" s="31"/>
    </row>
    <row r="4" spans="1:26" ht="24.95" customHeight="1" x14ac:dyDescent="0.25">
      <c r="D4" s="31" t="s">
        <v>18</v>
      </c>
      <c r="E4" s="31"/>
      <c r="F4" s="31" t="s">
        <v>110</v>
      </c>
      <c r="J4" s="3" t="s">
        <v>1</v>
      </c>
      <c r="K4" s="9" t="s">
        <v>5</v>
      </c>
      <c r="L4" s="8" t="s">
        <v>274</v>
      </c>
      <c r="M4" s="11"/>
      <c r="U4" s="12" t="s">
        <v>1</v>
      </c>
      <c r="Z4" s="10"/>
    </row>
    <row r="5" spans="1:26" ht="24.95" customHeight="1" x14ac:dyDescent="0.25">
      <c r="D5" s="31" t="s">
        <v>19</v>
      </c>
      <c r="E5" s="31"/>
      <c r="F5" s="31" t="s">
        <v>20</v>
      </c>
      <c r="J5" s="3" t="s">
        <v>1</v>
      </c>
      <c r="K5" s="9" t="s">
        <v>97</v>
      </c>
      <c r="L5" s="8" t="s">
        <v>176</v>
      </c>
      <c r="M5" s="11"/>
      <c r="U5" s="12" t="s">
        <v>1</v>
      </c>
      <c r="Z5" s="10"/>
    </row>
    <row r="6" spans="1:26" ht="24.95" customHeight="1" x14ac:dyDescent="0.25">
      <c r="D6" s="31" t="s">
        <v>60</v>
      </c>
      <c r="E6" s="13"/>
      <c r="F6" s="32">
        <v>1</v>
      </c>
      <c r="J6" s="3" t="s">
        <v>1</v>
      </c>
      <c r="K6" s="9" t="s">
        <v>17</v>
      </c>
      <c r="L6" s="8" t="s">
        <v>275</v>
      </c>
      <c r="M6" s="11"/>
      <c r="U6" s="12" t="s">
        <v>1</v>
      </c>
      <c r="Z6" s="10"/>
    </row>
    <row r="7" spans="1:26" ht="24.95" customHeight="1" x14ac:dyDescent="0.25">
      <c r="D7" s="31" t="s">
        <v>137</v>
      </c>
      <c r="E7" s="13"/>
      <c r="F7" s="31" t="str">
        <f>GetWorkName()</f>
        <v>PFSim</v>
      </c>
      <c r="J7" s="3" t="s">
        <v>1</v>
      </c>
      <c r="K7" s="9" t="s">
        <v>21</v>
      </c>
      <c r="L7" s="8" t="s">
        <v>276</v>
      </c>
      <c r="M7" s="11"/>
      <c r="U7" s="12" t="s">
        <v>1</v>
      </c>
      <c r="Z7" s="10"/>
    </row>
    <row r="8" spans="1:26" ht="24.95" customHeight="1" x14ac:dyDescent="0.25">
      <c r="D8" s="31" t="s">
        <v>114</v>
      </c>
      <c r="E8" s="13"/>
      <c r="F8" s="31" t="str">
        <f>GetPath()&amp;"\..\Firmware\PFSim-APP\Core\Common\"</f>
        <v>D:\work\gitlab\fw-prog-filter\Documents\..\Firmware\PFSim-APP\Core\Common\</v>
      </c>
      <c r="J8" s="3" t="s">
        <v>1</v>
      </c>
      <c r="K8" s="9" t="s">
        <v>139</v>
      </c>
      <c r="L8" s="8" t="s">
        <v>278</v>
      </c>
      <c r="M8" s="11"/>
      <c r="U8" s="12" t="s">
        <v>1</v>
      </c>
      <c r="Z8" s="10"/>
    </row>
    <row r="9" spans="1:26" ht="24.95" customHeight="1" x14ac:dyDescent="0.25">
      <c r="D9" s="31" t="s">
        <v>142</v>
      </c>
      <c r="E9" s="13"/>
      <c r="F9" s="31" t="str">
        <f>GetPath()&amp;"\..\Firmware\PFSim-APP\Core\Serial\"</f>
        <v>D:\work\gitlab\fw-prog-filter\Documents\..\Firmware\PFSim-APP\Core\Serial\</v>
      </c>
      <c r="J9" s="3"/>
      <c r="K9" s="9" t="s">
        <v>1</v>
      </c>
      <c r="L9" s="8" t="s">
        <v>279</v>
      </c>
      <c r="M9" s="11"/>
      <c r="Z9" s="10"/>
    </row>
    <row r="10" spans="1:26" ht="24.95" customHeight="1" x14ac:dyDescent="0.25">
      <c r="D10" s="31" t="s">
        <v>147</v>
      </c>
      <c r="E10" s="13"/>
      <c r="F10" s="31" t="str">
        <f>GetPath()&amp;"\..\Tests\pf-sim\"</f>
        <v>D:\work\gitlab\fw-prog-filter\Documents\..\Tests\pf-sim\</v>
      </c>
      <c r="K10" s="9" t="s">
        <v>148</v>
      </c>
      <c r="L10" s="8" t="s">
        <v>280</v>
      </c>
      <c r="M10" s="11"/>
    </row>
    <row r="11" spans="1:26" ht="24.75" customHeight="1" x14ac:dyDescent="0.25">
      <c r="D11" s="31" t="s">
        <v>149</v>
      </c>
      <c r="F11" s="31"/>
      <c r="K11" s="10"/>
      <c r="M11" s="11"/>
    </row>
    <row r="12" spans="1:26" ht="24.75" customHeight="1" x14ac:dyDescent="0.25">
      <c r="D12" s="31" t="s">
        <v>145</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45"/>
      <c r="B16" s="45"/>
      <c r="C16" s="44"/>
      <c r="D16" s="47" t="s">
        <v>8</v>
      </c>
      <c r="E16" s="49" t="s">
        <v>33</v>
      </c>
      <c r="F16" s="42" t="s">
        <v>10</v>
      </c>
      <c r="G16" s="42" t="s">
        <v>37</v>
      </c>
      <c r="H16" s="42" t="s">
        <v>11</v>
      </c>
      <c r="I16" s="47" t="s">
        <v>0</v>
      </c>
      <c r="J16" s="42" t="s">
        <v>13</v>
      </c>
      <c r="K16" s="47" t="s">
        <v>16</v>
      </c>
      <c r="L16" s="47" t="s">
        <v>2</v>
      </c>
      <c r="M16" s="55" t="s">
        <v>130</v>
      </c>
      <c r="N16" s="42" t="s">
        <v>14</v>
      </c>
      <c r="O16" s="52" t="s">
        <v>115</v>
      </c>
      <c r="P16" s="52" t="s">
        <v>116</v>
      </c>
      <c r="Q16" s="52" t="s">
        <v>120</v>
      </c>
      <c r="R16" s="52" t="s">
        <v>143</v>
      </c>
      <c r="S16" s="54" t="s">
        <v>98</v>
      </c>
      <c r="T16" s="51" t="s">
        <v>4</v>
      </c>
    </row>
    <row r="17" spans="1:20" ht="15" customHeight="1" x14ac:dyDescent="0.25">
      <c r="A17" s="46"/>
      <c r="B17" s="46"/>
      <c r="C17" s="44"/>
      <c r="D17" s="48"/>
      <c r="E17" s="50"/>
      <c r="F17" s="43"/>
      <c r="G17" s="43"/>
      <c r="H17" s="43"/>
      <c r="I17" s="48"/>
      <c r="J17" s="43"/>
      <c r="K17" s="48"/>
      <c r="L17" s="48"/>
      <c r="M17" s="56"/>
      <c r="N17" s="48"/>
      <c r="O17" s="53"/>
      <c r="P17" s="53"/>
      <c r="Q17" s="57"/>
      <c r="R17" s="57"/>
      <c r="S17" s="53"/>
      <c r="T17" s="50"/>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9"/>
      <c r="T19" s="2" t="s">
        <v>126</v>
      </c>
    </row>
    <row r="20" spans="1:20" x14ac:dyDescent="0.25">
      <c r="A20" s="34"/>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9"/>
      <c r="O20" s="29"/>
      <c r="P20" s="3"/>
      <c r="Q20" s="29"/>
      <c r="R20" s="29"/>
      <c r="S20" s="34"/>
      <c r="T20" t="s">
        <v>150</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9"/>
      <c r="Q21" s="3"/>
      <c r="R21" s="29"/>
      <c r="T21" s="2" t="s">
        <v>163</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9"/>
      <c r="O22" s="29"/>
      <c r="P22" s="29"/>
      <c r="Q22" s="29"/>
      <c r="R22" s="29"/>
      <c r="S22" s="34"/>
      <c r="T22" t="s">
        <v>158</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9"/>
      <c r="O23" s="29"/>
      <c r="P23" s="29"/>
      <c r="Q23" s="29"/>
      <c r="R23" s="29"/>
      <c r="S23" s="34"/>
      <c r="T23" s="2" t="s">
        <v>168</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183</v>
      </c>
      <c r="M24" t="s">
        <v>184</v>
      </c>
      <c r="N24" s="29"/>
      <c r="O24" s="29"/>
      <c r="P24" s="29"/>
      <c r="Q24" s="29"/>
      <c r="R24" s="29"/>
      <c r="T24" t="s">
        <v>185</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9">
        <v>16</v>
      </c>
      <c r="O25" s="29"/>
      <c r="P25" s="29"/>
      <c r="Q25" s="29"/>
      <c r="R25" s="29"/>
      <c r="S25" s="34"/>
      <c r="T25" t="s">
        <v>155</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9"/>
      <c r="O26" s="29"/>
      <c r="P26" s="29"/>
      <c r="Q26" s="29"/>
      <c r="R26" s="29"/>
      <c r="S26" s="34"/>
      <c r="T26" s="2" t="s">
        <v>175</v>
      </c>
    </row>
    <row r="27" spans="1:20" s="13" customFormat="1" ht="90" x14ac:dyDescent="0.25">
      <c r="A27" s="36"/>
      <c r="B27" s="12"/>
      <c r="C27" s="12"/>
      <c r="D27" s="14"/>
      <c r="E27" s="37" t="s">
        <v>159</v>
      </c>
      <c r="F27" s="5" t="s">
        <v>32</v>
      </c>
      <c r="G27" s="5" t="s">
        <v>45</v>
      </c>
      <c r="H27" s="5" t="s">
        <v>47</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160</v>
      </c>
      <c r="N27" s="33"/>
      <c r="O27" s="33">
        <v>0</v>
      </c>
      <c r="P27" s="33">
        <v>9901</v>
      </c>
      <c r="Q27" s="33"/>
      <c r="R27" s="5"/>
      <c r="S27" s="33"/>
      <c r="T27" s="39" t="s">
        <v>172</v>
      </c>
    </row>
    <row r="28" spans="1:20" x14ac:dyDescent="0.25">
      <c r="A28" s="34"/>
      <c r="D28" s="14"/>
      <c r="E28" s="2" t="s">
        <v>140</v>
      </c>
      <c r="F28" s="3" t="s">
        <v>32</v>
      </c>
      <c r="G28" s="5" t="s">
        <v>45</v>
      </c>
      <c r="H28" s="18" t="s">
        <v>47</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9"/>
      <c r="T28" s="2" t="s">
        <v>170</v>
      </c>
    </row>
    <row r="29" spans="1:20" s="34" customFormat="1" x14ac:dyDescent="0.25">
      <c r="D29" s="40"/>
      <c r="E29" t="s">
        <v>186</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187</v>
      </c>
      <c r="N29" s="29"/>
      <c r="O29" s="29">
        <v>0</v>
      </c>
      <c r="P29" s="3" t="s">
        <v>188</v>
      </c>
      <c r="Q29" s="29"/>
      <c r="R29" s="29"/>
      <c r="T29" t="s">
        <v>189</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5"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9"/>
      <c r="T33" t="s">
        <v>122</v>
      </c>
    </row>
    <row r="34" spans="1:23" x14ac:dyDescent="0.25">
      <c r="A34" s="34"/>
      <c r="D34" s="14"/>
      <c r="E34" s="11" t="s">
        <v>22</v>
      </c>
      <c r="F34" s="14" t="s">
        <v>30</v>
      </c>
      <c r="G34" s="5" t="s">
        <v>45</v>
      </c>
      <c r="H34" s="18" t="s">
        <v>42</v>
      </c>
      <c r="I34" s="14">
        <f t="shared" ref="I34:I39"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8753</v>
      </c>
      <c r="P34" s="10">
        <v>8743</v>
      </c>
      <c r="R34" s="29"/>
      <c r="T34" t="s">
        <v>171</v>
      </c>
    </row>
    <row r="35" spans="1:23" x14ac:dyDescent="0.25">
      <c r="A35" s="34"/>
      <c r="D35" s="14"/>
      <c r="E35" s="11" t="s">
        <v>15</v>
      </c>
      <c r="F35" s="14" t="s">
        <v>30</v>
      </c>
      <c r="G35" s="5" t="s">
        <v>45</v>
      </c>
      <c r="H35" s="18" t="s">
        <v>42</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9"/>
      <c r="T35" t="s">
        <v>165</v>
      </c>
    </row>
    <row r="36" spans="1:23" x14ac:dyDescent="0.25">
      <c r="A36" s="34"/>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9"/>
      <c r="T36" t="s">
        <v>123</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9">
        <v>1</v>
      </c>
      <c r="P38" s="10">
        <v>999</v>
      </c>
      <c r="R38" s="29"/>
      <c r="T38" t="s">
        <v>124</v>
      </c>
    </row>
    <row r="39" spans="1:23" x14ac:dyDescent="0.25">
      <c r="A39" s="34"/>
      <c r="D39" s="15"/>
      <c r="E39" s="11" t="s">
        <v>12</v>
      </c>
      <c r="F39" s="10" t="s">
        <v>31</v>
      </c>
      <c r="G39" s="5" t="s">
        <v>45</v>
      </c>
      <c r="H39" s="18" t="s">
        <v>42</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9">
        <v>20240810</v>
      </c>
      <c r="P39" s="29">
        <v>20240810</v>
      </c>
      <c r="R39" s="29"/>
      <c r="T39" t="s">
        <v>125</v>
      </c>
    </row>
    <row r="40" spans="1:23" x14ac:dyDescent="0.25">
      <c r="A40" s="34"/>
      <c r="D40" s="15"/>
      <c r="E40" s="11"/>
      <c r="G40" s="5"/>
      <c r="H40" s="18"/>
      <c r="I40" s="14"/>
      <c r="K40" s="10"/>
      <c r="M40"/>
      <c r="R40" s="29"/>
      <c r="T40"/>
    </row>
    <row r="41" spans="1:23" x14ac:dyDescent="0.25">
      <c r="A41" s="34"/>
      <c r="D41" s="15"/>
      <c r="E41" s="11"/>
      <c r="G41" s="5"/>
      <c r="H41" s="18"/>
      <c r="I41" s="14"/>
      <c r="K41" s="10"/>
      <c r="M41"/>
      <c r="R41" s="29"/>
      <c r="T41"/>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190</v>
      </c>
      <c r="F44" s="5" t="s">
        <v>179</v>
      </c>
      <c r="G44" s="3" t="s">
        <v>111</v>
      </c>
      <c r="H44" s="18" t="s">
        <v>44</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191</v>
      </c>
      <c r="N44" s="29">
        <v>1</v>
      </c>
      <c r="O44" s="29">
        <v>0</v>
      </c>
      <c r="P44" s="29">
        <v>4</v>
      </c>
      <c r="Q44" s="29"/>
      <c r="R44" s="29"/>
      <c r="S44" s="29"/>
      <c r="T44" t="s">
        <v>192</v>
      </c>
    </row>
    <row r="45" spans="1:23" s="34" customFormat="1" x14ac:dyDescent="0.25">
      <c r="D45" s="40"/>
      <c r="F45" s="5" t="s">
        <v>179</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193</v>
      </c>
      <c r="M45" s="41">
        <v>9600</v>
      </c>
      <c r="N45" s="29"/>
      <c r="O45" s="29"/>
      <c r="P45" s="29"/>
      <c r="Q45" s="29"/>
      <c r="R45" s="29"/>
      <c r="S45" s="29"/>
      <c r="T45" t="s">
        <v>194</v>
      </c>
    </row>
    <row r="46" spans="1:23" s="34" customFormat="1" x14ac:dyDescent="0.25">
      <c r="D46" s="40"/>
      <c r="F46" s="5" t="s">
        <v>179</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195</v>
      </c>
      <c r="M46" s="41">
        <v>19200</v>
      </c>
      <c r="N46" s="29"/>
      <c r="O46" s="29"/>
      <c r="P46" s="29"/>
      <c r="Q46" s="29"/>
      <c r="R46" s="29"/>
      <c r="S46" s="29"/>
      <c r="T46" t="s">
        <v>196</v>
      </c>
    </row>
    <row r="47" spans="1:23" s="34" customFormat="1" x14ac:dyDescent="0.25">
      <c r="D47" s="40"/>
      <c r="F47" s="5" t="s">
        <v>179</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197</v>
      </c>
      <c r="M47" s="41">
        <v>38400</v>
      </c>
      <c r="N47" s="29"/>
      <c r="O47" s="29"/>
      <c r="P47" s="29"/>
      <c r="Q47" s="29"/>
      <c r="R47" s="29"/>
      <c r="S47" s="29"/>
      <c r="T47" t="s">
        <v>198</v>
      </c>
    </row>
    <row r="48" spans="1:23" s="34" customFormat="1" x14ac:dyDescent="0.25">
      <c r="D48" s="40"/>
      <c r="F48" s="5" t="s">
        <v>179</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199</v>
      </c>
      <c r="M48" s="41">
        <v>57600</v>
      </c>
      <c r="N48" s="29"/>
      <c r="O48" s="29"/>
      <c r="P48" s="29"/>
      <c r="Q48" s="29"/>
      <c r="R48" s="29"/>
      <c r="S48" s="29"/>
      <c r="T48" t="s">
        <v>200</v>
      </c>
    </row>
    <row r="49" spans="4:26" s="34" customFormat="1" x14ac:dyDescent="0.25">
      <c r="D49" s="40"/>
      <c r="F49" s="5" t="s">
        <v>179</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201</v>
      </c>
      <c r="M49" s="41">
        <v>115200</v>
      </c>
      <c r="N49" s="29"/>
      <c r="O49" s="29"/>
      <c r="P49" s="29"/>
      <c r="Q49" s="29"/>
      <c r="R49" s="29"/>
      <c r="S49" s="29"/>
      <c r="T49" t="s">
        <v>202</v>
      </c>
    </row>
    <row r="50" spans="4:26" s="34" customFormat="1" x14ac:dyDescent="0.25">
      <c r="D50" s="40"/>
      <c r="E50" t="s">
        <v>203</v>
      </c>
      <c r="F50" s="5" t="s">
        <v>179</v>
      </c>
      <c r="G50" s="3" t="s">
        <v>111</v>
      </c>
      <c r="H50" s="3" t="s">
        <v>44</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204</v>
      </c>
      <c r="N50" s="29">
        <v>1</v>
      </c>
      <c r="O50" s="29">
        <v>0</v>
      </c>
      <c r="P50" s="29">
        <v>2</v>
      </c>
      <c r="Q50" s="29"/>
      <c r="R50" s="29"/>
      <c r="S50" s="29"/>
      <c r="T50" t="s">
        <v>205</v>
      </c>
    </row>
    <row r="51" spans="4:26" s="34" customFormat="1" x14ac:dyDescent="0.25">
      <c r="D51" s="40"/>
      <c r="F51" s="5" t="s">
        <v>179</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206</v>
      </c>
      <c r="M51" s="41" t="s">
        <v>207</v>
      </c>
      <c r="N51" s="29"/>
      <c r="O51" s="29"/>
      <c r="P51" s="29"/>
      <c r="Q51" s="29"/>
      <c r="R51" s="29"/>
      <c r="S51" s="29"/>
      <c r="T51" t="s">
        <v>208</v>
      </c>
    </row>
    <row r="52" spans="4:26" s="34" customFormat="1" x14ac:dyDescent="0.25">
      <c r="D52" s="40"/>
      <c r="F52" s="5" t="s">
        <v>179</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209</v>
      </c>
      <c r="M52" t="s">
        <v>210</v>
      </c>
      <c r="N52" s="29"/>
      <c r="O52" s="29"/>
      <c r="P52" s="29"/>
      <c r="Q52" s="29"/>
      <c r="R52" s="29"/>
      <c r="S52" s="29"/>
      <c r="T52" t="s">
        <v>211</v>
      </c>
    </row>
    <row r="53" spans="4:26" s="34" customFormat="1" x14ac:dyDescent="0.25">
      <c r="D53" s="40"/>
      <c r="F53" s="5" t="s">
        <v>179</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212</v>
      </c>
      <c r="M53" t="s">
        <v>213</v>
      </c>
      <c r="N53" s="29"/>
      <c r="O53" s="29"/>
      <c r="P53" s="29"/>
      <c r="Q53" s="29"/>
      <c r="R53" s="29"/>
      <c r="S53" s="29"/>
      <c r="T53" t="s">
        <v>214</v>
      </c>
    </row>
    <row r="54" spans="4:26" s="34" customFormat="1" x14ac:dyDescent="0.25">
      <c r="D54" s="40"/>
      <c r="E54" t="s">
        <v>215</v>
      </c>
      <c r="F54" s="5" t="s">
        <v>179</v>
      </c>
      <c r="G54" s="3" t="s">
        <v>111</v>
      </c>
      <c r="H54" s="3" t="s">
        <v>44</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216</v>
      </c>
      <c r="N54" s="29">
        <v>0</v>
      </c>
      <c r="O54" s="29">
        <v>0</v>
      </c>
      <c r="P54" s="29">
        <v>1</v>
      </c>
      <c r="Q54" s="29"/>
      <c r="R54" s="29"/>
      <c r="S54" s="29"/>
      <c r="T54" t="s">
        <v>217</v>
      </c>
    </row>
    <row r="55" spans="4:26" s="34" customFormat="1" x14ac:dyDescent="0.25">
      <c r="D55" s="40"/>
      <c r="F55" s="5" t="s">
        <v>179</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218</v>
      </c>
      <c r="M55" t="s">
        <v>219</v>
      </c>
      <c r="N55" s="29"/>
      <c r="O55" s="29"/>
      <c r="P55" s="29"/>
      <c r="Q55" s="29"/>
      <c r="R55" s="29"/>
      <c r="S55" s="29"/>
      <c r="T55" t="s">
        <v>219</v>
      </c>
    </row>
    <row r="56" spans="4:26" s="34" customFormat="1" x14ac:dyDescent="0.25">
      <c r="D56" s="40"/>
      <c r="F56" s="5" t="s">
        <v>179</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220</v>
      </c>
      <c r="M56" t="s">
        <v>221</v>
      </c>
      <c r="N56" s="29"/>
      <c r="O56" s="29"/>
      <c r="P56" s="29"/>
      <c r="Q56" s="29"/>
      <c r="R56" s="29"/>
      <c r="S56" s="29"/>
      <c r="T56" t="s">
        <v>221</v>
      </c>
    </row>
    <row r="57" spans="4:26" s="34" customFormat="1" x14ac:dyDescent="0.25">
      <c r="D57" s="40"/>
      <c r="E57" t="s">
        <v>222</v>
      </c>
      <c r="F57" s="5" t="s">
        <v>179</v>
      </c>
      <c r="G57" s="3" t="s">
        <v>45</v>
      </c>
      <c r="H57" s="3" t="s">
        <v>47</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223</v>
      </c>
      <c r="S57" s="29"/>
      <c r="T57"/>
    </row>
    <row r="58" spans="4:26" s="34" customFormat="1" x14ac:dyDescent="0.25">
      <c r="D58" s="40"/>
      <c r="E58" t="s">
        <v>224</v>
      </c>
      <c r="F58" s="5" t="s">
        <v>179</v>
      </c>
      <c r="G58" s="3" t="s">
        <v>45</v>
      </c>
      <c r="H58" s="3" t="s">
        <v>42</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225</v>
      </c>
      <c r="N58" s="29">
        <v>32</v>
      </c>
      <c r="O58" s="29">
        <v>32</v>
      </c>
      <c r="P58" s="29">
        <v>63</v>
      </c>
      <c r="Q58" s="29"/>
      <c r="R58" s="29" t="s">
        <v>223</v>
      </c>
      <c r="S58" s="29"/>
      <c r="T58" t="s">
        <v>226</v>
      </c>
    </row>
    <row r="59" spans="4:26" s="34" customFormat="1" x14ac:dyDescent="0.25">
      <c r="D59" s="40"/>
      <c r="E59" t="s">
        <v>227</v>
      </c>
      <c r="F59" s="3" t="s">
        <v>179</v>
      </c>
      <c r="G59" s="3" t="s">
        <v>45</v>
      </c>
      <c r="H59" s="3" t="s">
        <v>47</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228</v>
      </c>
      <c r="N59" s="29"/>
      <c r="O59" s="29">
        <v>0</v>
      </c>
      <c r="P59" s="29">
        <v>1</v>
      </c>
      <c r="Q59" s="29"/>
      <c r="R59" s="29"/>
      <c r="S59" s="29"/>
      <c r="T59" t="s">
        <v>229</v>
      </c>
    </row>
    <row r="60" spans="4:26" s="34" customFormat="1" x14ac:dyDescent="0.25">
      <c r="D60" s="40"/>
      <c r="E60" t="s">
        <v>230</v>
      </c>
      <c r="F60" s="3" t="s">
        <v>179</v>
      </c>
      <c r="G60" s="3" t="s">
        <v>45</v>
      </c>
      <c r="H60" s="3" t="s">
        <v>44</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184</v>
      </c>
      <c r="N60" s="29">
        <v>10</v>
      </c>
      <c r="O60" s="29">
        <v>0</v>
      </c>
      <c r="P60" s="29">
        <v>7200</v>
      </c>
      <c r="Q60" s="3" t="s">
        <v>121</v>
      </c>
      <c r="R60" s="29"/>
      <c r="S60" s="29"/>
      <c r="T60" t="s">
        <v>231</v>
      </c>
    </row>
    <row r="61" spans="4:26" s="34" customFormat="1" x14ac:dyDescent="0.25">
      <c r="D61" s="40"/>
      <c r="F61" s="29"/>
      <c r="I61" s="33"/>
      <c r="K61" s="10"/>
      <c r="N61" s="29"/>
      <c r="O61" s="29"/>
      <c r="P61" s="29"/>
      <c r="Q61" s="29"/>
      <c r="R61" s="29"/>
    </row>
    <row r="62" spans="4:26" x14ac:dyDescent="0.25">
      <c r="Z62" s="34"/>
    </row>
    <row r="63" spans="4:26" s="34" customFormat="1" x14ac:dyDescent="0.25">
      <c r="D63" s="40"/>
      <c r="E63" t="s">
        <v>241</v>
      </c>
      <c r="F63" s="3" t="s">
        <v>238</v>
      </c>
      <c r="G63" s="3" t="s">
        <v>45</v>
      </c>
      <c r="H63" s="3" t="s">
        <v>47</v>
      </c>
      <c r="I63" s="33">
        <f xml:space="preserve"> I62+J62</f>
        <v>0</v>
      </c>
      <c r="J63" s="29">
        <v>4</v>
      </c>
      <c r="K63" s="10" t="str">
        <f xml:space="preserve"> IFERROR("0x" &amp; DEC2HEX(VLOOKUP(F63,Common!$C$10:$D$34,2,FALSE),2) &amp; DEC2HEX(I63,3) &amp; DEC2HEX(VLOOKUP(G63,Common!$C$51:$D$55,2,FALSE),1) &amp; DEC2HEX(1+2*VLOOKUP(H63,Common!$C$69:$D$72,2,FALSE),1) &amp; DEC2HEX(IFERROR(LOG(J63,2),0),1),0)</f>
        <v>0x05000152</v>
      </c>
      <c r="L63" s="29" t="str">
        <f>IF(AND(LEN(E63)&lt;&gt;0,S63=""),F63&amp;"_"&amp;UPPER(E63),"")</f>
        <v>PF_CUTOFF_LP</v>
      </c>
      <c r="M63" t="s">
        <v>242</v>
      </c>
      <c r="N63" s="29">
        <v>100</v>
      </c>
      <c r="O63" s="3">
        <v>20</v>
      </c>
      <c r="P63" s="29">
        <v>320</v>
      </c>
      <c r="Q63" s="3" t="s">
        <v>243</v>
      </c>
      <c r="R63" s="3"/>
      <c r="T63" t="s">
        <v>244</v>
      </c>
    </row>
    <row r="64" spans="4:26" s="34" customFormat="1" x14ac:dyDescent="0.25">
      <c r="D64" s="40"/>
      <c r="E64" s="34" t="s">
        <v>252</v>
      </c>
      <c r="F64" s="3" t="s">
        <v>238</v>
      </c>
      <c r="G64" s="3" t="s">
        <v>45</v>
      </c>
      <c r="H64" s="3" t="s">
        <v>47</v>
      </c>
      <c r="I64" s="33">
        <f t="shared" ref="I64:I65" si="7" xml:space="preserve"> I63+J63</f>
        <v>4</v>
      </c>
      <c r="J64" s="29">
        <v>4</v>
      </c>
      <c r="K64" s="10" t="str">
        <f xml:space="preserve"> IFERROR("0x" &amp; DEC2HEX(VLOOKUP(F64,Common!$C$10:$D$34,2,FALSE),2) &amp; DEC2HEX(I64,3) &amp; DEC2HEX(VLOOKUP(G64,Common!$C$51:$D$55,2,FALSE),1) &amp; DEC2HEX(1+2*VLOOKUP(H64,Common!$C$69:$D$72,2,FALSE),1) &amp; DEC2HEX(IFERROR(LOG(J64,2),0),1),0)</f>
        <v>0x05004152</v>
      </c>
      <c r="L64" s="3" t="str">
        <f>IF(AND(LEN(E64)&lt;&gt;0,S64=""),F64&amp;"_"&amp;UPPER(E64),"")</f>
        <v>PF_CUTOFF_HP</v>
      </c>
      <c r="M64" t="s">
        <v>245</v>
      </c>
      <c r="N64" s="3">
        <v>500</v>
      </c>
      <c r="O64" s="3">
        <v>300</v>
      </c>
      <c r="P64" s="3">
        <v>10000</v>
      </c>
      <c r="Q64" s="29" t="s">
        <v>246</v>
      </c>
      <c r="T64" s="34" t="s">
        <v>247</v>
      </c>
    </row>
    <row r="65" spans="1:35" s="34" customFormat="1" x14ac:dyDescent="0.25">
      <c r="D65" s="40"/>
      <c r="E65" t="s">
        <v>237</v>
      </c>
      <c r="F65" s="5" t="s">
        <v>238</v>
      </c>
      <c r="G65" s="3" t="s">
        <v>111</v>
      </c>
      <c r="H65" s="3" t="s">
        <v>47</v>
      </c>
      <c r="I65" s="33">
        <f t="shared" si="7"/>
        <v>8</v>
      </c>
      <c r="J65" s="29">
        <v>1</v>
      </c>
      <c r="K65" s="10" t="str">
        <f xml:space="preserve"> IFERROR("0x" &amp; DEC2HEX(VLOOKUP(F65,Common!$C$10:$D$34,2,FALSE),2) &amp; DEC2HEX(I65,3) &amp; DEC2HEX(VLOOKUP(G65,Common!$C$51:$D$55,2,FALSE),1) &amp; DEC2HEX(1+2*VLOOKUP(H65,Common!$C$69:$D$72,2,FALSE),1) &amp; DEC2HEX(IFERROR(LOG(J65,2),0),1),0)</f>
        <v>0x05008550</v>
      </c>
      <c r="L65" s="29" t="str">
        <f>IF(AND(LEN(E65)&lt;&gt;0,S65=""),F65&amp;"_"&amp;UPPER(E65),"")</f>
        <v>PF_MODE</v>
      </c>
      <c r="M65" t="s">
        <v>248</v>
      </c>
      <c r="N65" s="29">
        <v>0</v>
      </c>
      <c r="O65" s="29">
        <v>0</v>
      </c>
      <c r="P65" s="29">
        <v>3</v>
      </c>
      <c r="Q65" s="29"/>
      <c r="R65" s="29"/>
      <c r="S65" s="29"/>
      <c r="T65" t="s">
        <v>265</v>
      </c>
    </row>
    <row r="66" spans="1:35" s="34" customFormat="1" x14ac:dyDescent="0.25">
      <c r="D66" s="40"/>
      <c r="F66" s="5" t="s">
        <v>238</v>
      </c>
      <c r="G66" s="29"/>
      <c r="H66" s="29"/>
      <c r="I66" s="33">
        <f xml:space="preserve"> I65+J65</f>
        <v>9</v>
      </c>
      <c r="J66" s="29"/>
      <c r="K66" s="10">
        <f xml:space="preserve"> IFERROR("0x" &amp; DEC2HEX(VLOOKUP(F66,Common!$C$10:$D$34,2,FALSE),2) &amp; DEC2HEX(I66,3) &amp; DEC2HEX(VLOOKUP(G66,Common!$C$51:$D$55,2,FALSE),1) &amp; DEC2HEX(1+2*VLOOKUP(H66,Common!$C$69:$D$72,2,FALSE),1) &amp; DEC2HEX(IFERROR(LOG(J66,2),0),1),0)</f>
        <v>0</v>
      </c>
      <c r="L66" s="3" t="s">
        <v>250</v>
      </c>
      <c r="M66" t="s">
        <v>271</v>
      </c>
      <c r="N66" s="29"/>
      <c r="O66" s="29"/>
      <c r="P66" s="29"/>
      <c r="Q66" s="29"/>
      <c r="R66" s="29"/>
      <c r="S66" s="29"/>
      <c r="T66" t="s">
        <v>267</v>
      </c>
    </row>
    <row r="67" spans="1:35" s="34" customFormat="1" x14ac:dyDescent="0.25">
      <c r="B67" s="12"/>
      <c r="C67" s="12"/>
      <c r="D67"/>
      <c r="F67" s="5" t="s">
        <v>238</v>
      </c>
      <c r="G67" s="29"/>
      <c r="H67" s="29"/>
      <c r="I67" s="33">
        <f t="shared" ref="I67" si="8" xml:space="preserve"> I66+J66</f>
        <v>9</v>
      </c>
      <c r="J67" s="29"/>
      <c r="K67" s="10">
        <f xml:space="preserve"> IFERROR("0x" &amp; DEC2HEX(VLOOKUP(F67,Common!$C$10:$D$34,2,FALSE),2) &amp; DEC2HEX(I67,3) &amp; DEC2HEX(VLOOKUP(G67,Common!$C$51:$D$55,2,FALSE),1) &amp; DEC2HEX(1+2*VLOOKUP(H67,Common!$C$69:$D$72,2,FALSE),1) &amp; DEC2HEX(IFERROR(LOG(J67,2),0),1),0)</f>
        <v>0</v>
      </c>
      <c r="L67" s="3" t="s">
        <v>251</v>
      </c>
      <c r="M67" s="2" t="s">
        <v>272</v>
      </c>
      <c r="N67" s="29"/>
      <c r="O67" s="29"/>
      <c r="P67" s="29"/>
      <c r="Q67" s="29"/>
      <c r="R67" s="29"/>
      <c r="S67" s="29"/>
      <c r="T67" s="2" t="s">
        <v>268</v>
      </c>
    </row>
    <row r="68" spans="1:35" s="10" customFormat="1" x14ac:dyDescent="0.25">
      <c r="A68" s="12"/>
      <c r="B68" s="34"/>
      <c r="C68" s="34"/>
      <c r="D68" s="40"/>
      <c r="E68" s="34"/>
      <c r="F68" s="5" t="s">
        <v>238</v>
      </c>
      <c r="G68" s="29"/>
      <c r="H68" s="29"/>
      <c r="I68" s="33">
        <f xml:space="preserve"> I67+J67</f>
        <v>9</v>
      </c>
      <c r="J68" s="29"/>
      <c r="K68" s="10">
        <f xml:space="preserve"> IFERROR("0x" &amp; DEC2HEX(VLOOKUP(F68,Common!$C$10:$D$34,2,FALSE),2) &amp; DEC2HEX(I68,3) &amp; DEC2HEX(VLOOKUP(G68,Common!$C$51:$D$55,2,FALSE),1) &amp; DEC2HEX(1+2*VLOOKUP(H68,Common!$C$69:$D$72,2,FALSE),1) &amp; DEC2HEX(IFERROR(LOG(J68,2),0),1),0)</f>
        <v>0</v>
      </c>
      <c r="L68" s="3" t="s">
        <v>249</v>
      </c>
      <c r="M68" t="s">
        <v>273</v>
      </c>
      <c r="N68" s="29"/>
      <c r="O68" s="29"/>
      <c r="P68" s="29"/>
      <c r="Q68" s="29"/>
      <c r="R68" s="29"/>
      <c r="S68" s="29"/>
      <c r="T68" t="s">
        <v>269</v>
      </c>
      <c r="U68" s="34"/>
      <c r="V68" s="34"/>
      <c r="W68" s="34"/>
      <c r="X68" s="34"/>
      <c r="Y68" s="34"/>
      <c r="Z68" s="34"/>
      <c r="AA68" s="12"/>
      <c r="AB68" s="12"/>
      <c r="AC68" s="12"/>
      <c r="AD68" s="12"/>
      <c r="AE68" s="12"/>
      <c r="AF68" s="12"/>
      <c r="AG68" s="12"/>
      <c r="AH68" s="12"/>
      <c r="AI68" s="12"/>
    </row>
    <row r="69" spans="1:35" s="34" customFormat="1" x14ac:dyDescent="0.25">
      <c r="F69" s="5" t="s">
        <v>238</v>
      </c>
      <c r="I69" s="33">
        <f xml:space="preserve"> I68+J68</f>
        <v>9</v>
      </c>
      <c r="K69" s="10">
        <f xml:space="preserve"> IFERROR("0x" &amp; DEC2HEX(VLOOKUP(F69,Common!$C$10:$D$34,2,FALSE),2) &amp; DEC2HEX(I69,3) &amp; DEC2HEX(VLOOKUP(G69,Common!$C$51:$D$55,2,FALSE),1) &amp; DEC2HEX(1+2*VLOOKUP(H69,Common!$C$69:$D$72,2,FALSE),1) &amp; DEC2HEX(IFERROR(LOG(J69,2),0),1),0)</f>
        <v>0</v>
      </c>
      <c r="L69" s="3" t="s">
        <v>253</v>
      </c>
      <c r="M69" s="34" t="s">
        <v>270</v>
      </c>
      <c r="T69" s="34" t="s">
        <v>270</v>
      </c>
      <c r="V69" s="29"/>
      <c r="W69" s="29"/>
    </row>
    <row r="70" spans="1:35" s="34" customFormat="1" x14ac:dyDescent="0.25">
      <c r="D70" s="40"/>
      <c r="E70" s="34" t="s">
        <v>254</v>
      </c>
      <c r="F70" s="5" t="s">
        <v>238</v>
      </c>
      <c r="G70" s="3" t="s">
        <v>45</v>
      </c>
      <c r="H70" s="3" t="s">
        <v>47</v>
      </c>
      <c r="I70" s="33">
        <f xml:space="preserve"> I69+J69</f>
        <v>9</v>
      </c>
      <c r="J70" s="29">
        <v>1</v>
      </c>
      <c r="K70" s="10" t="str">
        <f xml:space="preserve"> IFERROR("0x" &amp; DEC2HEX(VLOOKUP(F70,Common!$C$10:$D$34,2,FALSE),2) &amp; DEC2HEX(I70,3) &amp; DEC2HEX(VLOOKUP(G70,Common!$C$51:$D$55,2,FALSE),1) &amp; DEC2HEX(1+2*VLOOKUP(H70,Common!$C$69:$D$72,2,FALSE),1) &amp; DEC2HEX(IFERROR(LOG(J70,2),0),1),0)</f>
        <v>0x05009150</v>
      </c>
      <c r="L70" s="29" t="str">
        <f t="shared" ref="L70:L71" si="9">IF(AND(LEN(E70)&lt;&gt;0,S70=""),F70&amp;"_"&amp;UPPER(E70),"")</f>
        <v>PF_RESET</v>
      </c>
      <c r="M70" t="s">
        <v>255</v>
      </c>
      <c r="N70" s="29">
        <v>1</v>
      </c>
      <c r="O70" s="29">
        <v>0</v>
      </c>
      <c r="P70" s="29">
        <v>1</v>
      </c>
      <c r="T70" t="s">
        <v>256</v>
      </c>
      <c r="U70"/>
    </row>
    <row r="71" spans="1:35" s="34" customFormat="1" x14ac:dyDescent="0.25">
      <c r="D71" s="40"/>
      <c r="E71" s="34" t="s">
        <v>222</v>
      </c>
      <c r="F71" s="5" t="s">
        <v>238</v>
      </c>
      <c r="G71" s="3" t="s">
        <v>45</v>
      </c>
      <c r="H71" s="3" t="s">
        <v>47</v>
      </c>
      <c r="I71" s="33">
        <f xml:space="preserve"> I70+J70</f>
        <v>10</v>
      </c>
      <c r="J71" s="29">
        <v>2</v>
      </c>
      <c r="K71" s="10" t="str">
        <f xml:space="preserve"> IFERROR("0x" &amp; DEC2HEX(VLOOKUP(F71,Common!$C$10:$D$34,2,FALSE),2) &amp; DEC2HEX(I71,3) &amp; DEC2HEX(VLOOKUP(G71,Common!$C$51:$D$55,2,FALSE),1) &amp; DEC2HEX(1+2*VLOOKUP(H71,Common!$C$69:$D$72,2,FALSE),1) &amp; DEC2HEX(IFERROR(LOG(J71,2),0),1),0)</f>
        <v>0x0500A151</v>
      </c>
      <c r="L71" s="29" t="str">
        <f t="shared" si="9"/>
        <v>PF_RESERVED</v>
      </c>
      <c r="M71" t="s">
        <v>86</v>
      </c>
      <c r="T71" t="s">
        <v>257</v>
      </c>
      <c r="U71"/>
    </row>
    <row r="72" spans="1:35" s="34" customFormat="1" x14ac:dyDescent="0.25">
      <c r="D72" s="40"/>
      <c r="E72" t="s">
        <v>258</v>
      </c>
      <c r="F72" s="3" t="s">
        <v>238</v>
      </c>
      <c r="G72" s="3" t="s">
        <v>45</v>
      </c>
      <c r="H72" s="3" t="s">
        <v>44</v>
      </c>
      <c r="I72" s="33">
        <f xml:space="preserve"> I71+J71</f>
        <v>12</v>
      </c>
      <c r="J72" s="29">
        <v>4</v>
      </c>
      <c r="K72" s="10" t="str">
        <f xml:space="preserve"> IFERROR("0x" &amp; DEC2HEX(VLOOKUP(F72,Common!$C$10:$D$34,2,FALSE),2) &amp; DEC2HEX(I72,3) &amp; DEC2HEX(VLOOKUP(G72,Common!$C$51:$D$55,2,FALSE),1) &amp; DEC2HEX(1+2*VLOOKUP(H72,Common!$C$69:$D$72,2,FALSE),1) &amp; DEC2HEX(IFERROR(LOG(J72,2),0),1),0)</f>
        <v>0x0500C172</v>
      </c>
      <c r="L72" s="29" t="str">
        <f>IF(AND(LEN(E72)&lt;&gt;0,S72=""),F72&amp;"_"&amp;UPPER(E72),"")</f>
        <v>PF_DEF_CUTOFF_LP</v>
      </c>
      <c r="M72" t="s">
        <v>262</v>
      </c>
      <c r="N72" s="29">
        <v>100</v>
      </c>
      <c r="O72" s="3">
        <v>20</v>
      </c>
      <c r="P72" s="29">
        <v>320</v>
      </c>
      <c r="Q72" s="3" t="s">
        <v>243</v>
      </c>
      <c r="R72" s="3"/>
      <c r="T72" t="s">
        <v>263</v>
      </c>
      <c r="U72"/>
    </row>
    <row r="73" spans="1:35" s="34" customFormat="1" x14ac:dyDescent="0.25">
      <c r="D73" s="40"/>
      <c r="E73" s="34" t="s">
        <v>259</v>
      </c>
      <c r="F73" s="3" t="s">
        <v>238</v>
      </c>
      <c r="G73" s="3" t="s">
        <v>45</v>
      </c>
      <c r="H73" s="3" t="s">
        <v>44</v>
      </c>
      <c r="I73" s="33">
        <f xml:space="preserve"> I72+J72</f>
        <v>16</v>
      </c>
      <c r="J73" s="29">
        <v>4</v>
      </c>
      <c r="K73" s="10" t="str">
        <f xml:space="preserve"> IFERROR("0x" &amp; DEC2HEX(VLOOKUP(F73,Common!$C$10:$D$34,2,FALSE),2) &amp; DEC2HEX(I73,3) &amp; DEC2HEX(VLOOKUP(G73,Common!$C$51:$D$55,2,FALSE),1) &amp; DEC2HEX(1+2*VLOOKUP(H73,Common!$C$69:$D$72,2,FALSE),1) &amp; DEC2HEX(IFERROR(LOG(J73,2),0),1),0)</f>
        <v>0x05010172</v>
      </c>
      <c r="L73" s="3" t="str">
        <f>IF(AND(LEN(E73)&lt;&gt;0,S73=""),F73&amp;"_"&amp;UPPER(E73),"")</f>
        <v>PF_DEF_CUTOFF_HP</v>
      </c>
      <c r="M73" t="s">
        <v>261</v>
      </c>
      <c r="N73" s="3">
        <v>500</v>
      </c>
      <c r="O73" s="3">
        <v>300</v>
      </c>
      <c r="P73" s="3">
        <v>10000</v>
      </c>
      <c r="Q73" s="29" t="s">
        <v>246</v>
      </c>
      <c r="T73" s="34" t="s">
        <v>264</v>
      </c>
      <c r="U73"/>
    </row>
    <row r="74" spans="1:35" s="34" customFormat="1" x14ac:dyDescent="0.25">
      <c r="D74" s="40"/>
      <c r="E74" t="s">
        <v>260</v>
      </c>
      <c r="F74" s="5" t="s">
        <v>238</v>
      </c>
      <c r="G74" s="3" t="s">
        <v>111</v>
      </c>
      <c r="H74" s="3" t="s">
        <v>44</v>
      </c>
      <c r="I74" s="33">
        <f t="shared" ref="I74:I78" si="10" xml:space="preserve"> I73+J73</f>
        <v>20</v>
      </c>
      <c r="J74" s="29">
        <v>1</v>
      </c>
      <c r="K74" s="10" t="str">
        <f xml:space="preserve"> IFERROR("0x" &amp; DEC2HEX(VLOOKUP(F74,Common!$C$10:$D$34,2,FALSE),2) &amp; DEC2HEX(I74,3) &amp; DEC2HEX(VLOOKUP(G74,Common!$C$51:$D$55,2,FALSE),1) &amp; DEC2HEX(1+2*VLOOKUP(H74,Common!$C$69:$D$72,2,FALSE),1) &amp; DEC2HEX(IFERROR(LOG(J74,2),0),1),0)</f>
        <v>0x05014570</v>
      </c>
      <c r="L74" s="29" t="str">
        <f>IF(AND(LEN(E74)&lt;&gt;0,S74=""),F74&amp;"_"&amp;UPPER(E74),"")</f>
        <v>PF_DEF_MODE</v>
      </c>
      <c r="M74" t="s">
        <v>248</v>
      </c>
      <c r="N74" s="29">
        <v>0</v>
      </c>
      <c r="O74" s="29">
        <v>0</v>
      </c>
      <c r="P74" s="29">
        <v>3</v>
      </c>
      <c r="Q74" s="29"/>
      <c r="R74" s="29"/>
      <c r="S74" s="29"/>
      <c r="T74" t="s">
        <v>266</v>
      </c>
      <c r="U74"/>
    </row>
    <row r="75" spans="1:35" s="34" customFormat="1" x14ac:dyDescent="0.25">
      <c r="D75" s="40"/>
      <c r="F75" s="5" t="s">
        <v>238</v>
      </c>
      <c r="G75" s="29"/>
      <c r="H75" s="29"/>
      <c r="I75" s="33">
        <f t="shared" si="10"/>
        <v>21</v>
      </c>
      <c r="J75" s="29"/>
      <c r="K75" s="10">
        <f xml:space="preserve"> IFERROR("0x" &amp; DEC2HEX(VLOOKUP(F75,Common!$C$10:$D$34,2,FALSE),2) &amp; DEC2HEX(I75,3) &amp; DEC2HEX(VLOOKUP(G75,Common!$C$51:$D$55,2,FALSE),1) &amp; DEC2HEX(1+2*VLOOKUP(H75,Common!$C$69:$D$72,2,FALSE),1) &amp; DEC2HEX(IFERROR(LOG(J75,2),0),1),0)</f>
        <v>0</v>
      </c>
      <c r="L75" s="3" t="s">
        <v>281</v>
      </c>
      <c r="M75" t="s">
        <v>271</v>
      </c>
      <c r="N75" s="29"/>
      <c r="O75" s="29"/>
      <c r="P75" s="29"/>
      <c r="Q75" s="29"/>
      <c r="R75" s="29"/>
      <c r="S75" s="29"/>
      <c r="T75" t="s">
        <v>267</v>
      </c>
      <c r="U75"/>
    </row>
    <row r="76" spans="1:35" s="34" customFormat="1" x14ac:dyDescent="0.25">
      <c r="D76" s="40"/>
      <c r="F76" s="5" t="s">
        <v>238</v>
      </c>
      <c r="G76" s="29"/>
      <c r="H76" s="29"/>
      <c r="I76" s="33">
        <f t="shared" si="10"/>
        <v>21</v>
      </c>
      <c r="J76" s="29"/>
      <c r="K76" s="10">
        <f xml:space="preserve"> IFERROR("0x" &amp; DEC2HEX(VLOOKUP(F76,Common!$C$10:$D$34,2,FALSE),2) &amp; DEC2HEX(I76,3) &amp; DEC2HEX(VLOOKUP(G76,Common!$C$51:$D$55,2,FALSE),1) &amp; DEC2HEX(1+2*VLOOKUP(H76,Common!$C$69:$D$72,2,FALSE),1) &amp; DEC2HEX(IFERROR(LOG(J76,2),0),1),0)</f>
        <v>0</v>
      </c>
      <c r="L76" s="3" t="s">
        <v>282</v>
      </c>
      <c r="M76" s="2" t="s">
        <v>272</v>
      </c>
      <c r="N76" s="29"/>
      <c r="O76" s="29"/>
      <c r="P76" s="29"/>
      <c r="Q76" s="29"/>
      <c r="R76" s="29"/>
      <c r="S76" s="29"/>
      <c r="T76" s="2" t="s">
        <v>268</v>
      </c>
      <c r="U76"/>
    </row>
    <row r="77" spans="1:35" s="34" customFormat="1" x14ac:dyDescent="0.25">
      <c r="D77" s="40"/>
      <c r="F77" s="5" t="s">
        <v>238</v>
      </c>
      <c r="G77" s="29"/>
      <c r="H77" s="29"/>
      <c r="I77" s="33">
        <f t="shared" si="10"/>
        <v>21</v>
      </c>
      <c r="J77" s="29"/>
      <c r="K77" s="10">
        <f xml:space="preserve"> IFERROR("0x" &amp; DEC2HEX(VLOOKUP(F77,Common!$C$10:$D$34,2,FALSE),2) &amp; DEC2HEX(I77,3) &amp; DEC2HEX(VLOOKUP(G77,Common!$C$51:$D$55,2,FALSE),1) &amp; DEC2HEX(1+2*VLOOKUP(H77,Common!$C$69:$D$72,2,FALSE),1) &amp; DEC2HEX(IFERROR(LOG(J77,2),0),1),0)</f>
        <v>0</v>
      </c>
      <c r="L77" s="3" t="s">
        <v>283</v>
      </c>
      <c r="M77" t="s">
        <v>273</v>
      </c>
      <c r="N77" s="29"/>
      <c r="O77" s="29"/>
      <c r="P77" s="29"/>
      <c r="Q77" s="29"/>
      <c r="R77" s="29"/>
      <c r="S77" s="29"/>
      <c r="T77" t="s">
        <v>269</v>
      </c>
      <c r="U77"/>
    </row>
    <row r="78" spans="1:35" s="34" customFormat="1" x14ac:dyDescent="0.25">
      <c r="D78" s="40"/>
      <c r="F78" s="5" t="s">
        <v>238</v>
      </c>
      <c r="I78" s="33">
        <f t="shared" si="10"/>
        <v>21</v>
      </c>
      <c r="K78" s="10">
        <f xml:space="preserve"> IFERROR("0x" &amp; DEC2HEX(VLOOKUP(F78,Common!$C$10:$D$34,2,FALSE),2) &amp; DEC2HEX(I78,3) &amp; DEC2HEX(VLOOKUP(G78,Common!$C$51:$D$55,2,FALSE),1) &amp; DEC2HEX(1+2*VLOOKUP(H78,Common!$C$69:$D$72,2,FALSE),1) &amp; DEC2HEX(IFERROR(LOG(J78,2),0),1),0)</f>
        <v>0</v>
      </c>
      <c r="L78" s="3" t="s">
        <v>284</v>
      </c>
      <c r="M78" s="34" t="s">
        <v>270</v>
      </c>
      <c r="T78" s="34" t="s">
        <v>270</v>
      </c>
      <c r="U78"/>
    </row>
    <row r="79" spans="1:35" s="34" customFormat="1" x14ac:dyDescent="0.25">
      <c r="D79" s="40"/>
      <c r="F79" s="5"/>
      <c r="G79" s="34" t="s">
        <v>223</v>
      </c>
      <c r="H79" s="34" t="s">
        <v>223</v>
      </c>
      <c r="I79" s="33" t="s">
        <v>223</v>
      </c>
      <c r="J79" s="58" t="s">
        <v>223</v>
      </c>
      <c r="K79" s="10"/>
      <c r="L79" s="3"/>
      <c r="U79"/>
    </row>
    <row r="80" spans="1:35" s="34" customFormat="1" x14ac:dyDescent="0.25">
      <c r="D80" s="40"/>
      <c r="U80"/>
    </row>
    <row r="81" spans="1:35" s="34" customFormat="1" x14ac:dyDescent="0.25">
      <c r="D81" s="40"/>
      <c r="E81" s="2" t="s">
        <v>232</v>
      </c>
      <c r="F81" s="3" t="s">
        <v>233</v>
      </c>
      <c r="G81" s="3" t="s">
        <v>45</v>
      </c>
      <c r="H81" s="3" t="s">
        <v>42</v>
      </c>
      <c r="I81" s="33">
        <v>0</v>
      </c>
      <c r="J81" s="29">
        <v>4</v>
      </c>
      <c r="K81" s="10" t="str">
        <f xml:space="preserve"> IFERROR("0x" &amp; DEC2HEX(VLOOKUP(F81,Common!$C$10:$D$34,2,FALSE),2) &amp; DEC2HEX(I81,3) &amp; DEC2HEX(VLOOKUP(G81,Common!$C$51:$D$55,2,FALSE),1) &amp; DEC2HEX(1+2*VLOOKUP(H81,Common!$C$69:$D$72,2,FALSE),1) &amp; DEC2HEX(IFERROR(LOG(J81,2),0),1),0)</f>
        <v>0x06000112</v>
      </c>
      <c r="L81" s="29" t="str">
        <f>IF(AND(LEN(E81)&lt;&gt;0,S81=""),F81&amp;"_"&amp;UPPER(E81),"")</f>
        <v>DBG_WRITES_CONF</v>
      </c>
      <c r="M81" t="s">
        <v>234</v>
      </c>
      <c r="N81" s="29"/>
      <c r="O81" s="29">
        <v>0</v>
      </c>
      <c r="P81" s="29">
        <v>1000000</v>
      </c>
      <c r="Q81" s="3" t="s">
        <v>235</v>
      </c>
      <c r="R81" s="29"/>
      <c r="S81" s="29"/>
      <c r="T81" t="s">
        <v>236</v>
      </c>
    </row>
    <row r="82" spans="1:35" s="34" customFormat="1" x14ac:dyDescent="0.25">
      <c r="D82" s="40"/>
      <c r="E82"/>
      <c r="F82" s="3"/>
      <c r="G82" s="3"/>
      <c r="H82" s="3"/>
      <c r="I82" s="33"/>
      <c r="J82" s="29"/>
      <c r="K82" s="10"/>
      <c r="L82" s="29"/>
      <c r="M82"/>
      <c r="N82" s="29"/>
      <c r="O82" s="29"/>
      <c r="P82" s="29"/>
      <c r="Q82" s="29"/>
      <c r="R82" s="29"/>
      <c r="S82" s="29"/>
      <c r="T82"/>
      <c r="Z82" s="12"/>
    </row>
    <row r="83" spans="1:35" s="34" customFormat="1" x14ac:dyDescent="0.25">
      <c r="D83" s="40"/>
      <c r="Z83" s="12"/>
    </row>
    <row r="84" spans="1:35" s="34" customFormat="1" x14ac:dyDescent="0.25">
      <c r="D84" s="40"/>
      <c r="E84"/>
      <c r="F84" s="3"/>
      <c r="G84" s="3"/>
      <c r="H84" s="3"/>
      <c r="I84" s="33"/>
      <c r="J84" s="29"/>
      <c r="K84" s="10"/>
      <c r="L84" s="29"/>
      <c r="M84"/>
      <c r="N84" s="29"/>
      <c r="O84" s="29"/>
      <c r="P84" s="29"/>
      <c r="Q84" s="3"/>
      <c r="R84" s="29"/>
      <c r="T84" s="35"/>
    </row>
    <row r="85" spans="1:35" s="34" customFormat="1" x14ac:dyDescent="0.25">
      <c r="D85" s="40"/>
      <c r="E85"/>
      <c r="F85" s="3"/>
      <c r="G85" s="3"/>
      <c r="H85" s="3"/>
      <c r="I85" s="33"/>
      <c r="J85" s="29"/>
      <c r="K85" s="10"/>
      <c r="L85" s="29"/>
      <c r="M85"/>
      <c r="N85" s="29"/>
      <c r="O85" s="3"/>
      <c r="P85" s="29"/>
      <c r="Q85" s="3"/>
      <c r="R85" s="3"/>
      <c r="T85"/>
      <c r="Z85" s="12"/>
    </row>
    <row r="86" spans="1:35" s="34" customFormat="1" x14ac:dyDescent="0.25">
      <c r="D86" s="40"/>
      <c r="E86"/>
      <c r="F86" s="3"/>
      <c r="G86" s="3"/>
      <c r="H86" s="3"/>
      <c r="I86" s="33"/>
      <c r="J86" s="29"/>
      <c r="K86" s="10"/>
      <c r="L86" s="29"/>
      <c r="M86"/>
      <c r="N86" s="29"/>
      <c r="O86" s="3"/>
      <c r="P86" s="29"/>
      <c r="Q86" s="3"/>
      <c r="R86" s="3"/>
      <c r="T86"/>
      <c r="Z86" s="12"/>
    </row>
    <row r="87" spans="1:35" s="34" customFormat="1" x14ac:dyDescent="0.25">
      <c r="D87" s="40"/>
      <c r="E87" s="24"/>
      <c r="F87" s="3"/>
      <c r="G87" s="3"/>
      <c r="H87" s="3"/>
      <c r="I87" s="33"/>
      <c r="J87" s="3"/>
      <c r="K87" s="10"/>
      <c r="L87" s="29"/>
      <c r="N87" s="22"/>
      <c r="O87" s="22"/>
      <c r="P87" s="22"/>
      <c r="Q87" s="3"/>
      <c r="R87" s="23"/>
      <c r="S87" s="22"/>
      <c r="T87" s="21"/>
      <c r="U87"/>
      <c r="V87"/>
      <c r="W87"/>
      <c r="X87"/>
      <c r="Y87"/>
    </row>
    <row r="88" spans="1:35" s="34" customFormat="1" x14ac:dyDescent="0.25">
      <c r="D88" s="40"/>
      <c r="I88" s="33"/>
      <c r="K88" s="10"/>
      <c r="L88" s="29"/>
      <c r="M88" s="21"/>
      <c r="N88" s="22"/>
      <c r="O88" s="22"/>
      <c r="P88" s="22"/>
      <c r="Q88" s="23"/>
      <c r="R88" s="23"/>
      <c r="S88" s="22"/>
      <c r="T88" s="21"/>
      <c r="U88"/>
      <c r="V88"/>
      <c r="W88"/>
      <c r="X88"/>
      <c r="Y88"/>
    </row>
    <row r="89" spans="1:35" s="10" customFormat="1" x14ac:dyDescent="0.25">
      <c r="I89" s="33"/>
      <c r="L89" s="29"/>
      <c r="M89" s="2"/>
      <c r="T89" s="21"/>
      <c r="AB89" s="12"/>
      <c r="AC89" s="12"/>
      <c r="AD89" s="12"/>
      <c r="AE89" s="12"/>
      <c r="AF89" s="12"/>
      <c r="AG89" s="12"/>
      <c r="AH89" s="12"/>
      <c r="AI89" s="12"/>
    </row>
    <row r="90" spans="1:35" s="10" customFormat="1" x14ac:dyDescent="0.25">
      <c r="A90" s="12"/>
      <c r="B90" s="12"/>
      <c r="C90" s="12"/>
      <c r="D90"/>
      <c r="E90" s="24"/>
      <c r="F90" s="3"/>
      <c r="G90" s="23"/>
      <c r="H90" s="26"/>
      <c r="I90" s="33"/>
      <c r="J90" s="29"/>
      <c r="L90" s="29"/>
      <c r="M90" s="21"/>
      <c r="N90" s="3"/>
      <c r="O90" s="3"/>
      <c r="P90" s="3"/>
      <c r="Q90" s="5"/>
      <c r="R90" s="34"/>
      <c r="S90" s="34"/>
      <c r="T90" s="21"/>
      <c r="U90" s="34"/>
      <c r="V90" s="34"/>
      <c r="W90" s="34"/>
      <c r="X90" s="34"/>
      <c r="Y90" s="34"/>
      <c r="AA90" s="12"/>
      <c r="AB90" s="12"/>
      <c r="AC90" s="12"/>
      <c r="AD90" s="12"/>
      <c r="AE90" s="12"/>
      <c r="AF90" s="12"/>
      <c r="AG90" s="12"/>
      <c r="AH90" s="12"/>
      <c r="AI90" s="12"/>
    </row>
    <row r="91" spans="1:35" s="34" customFormat="1" x14ac:dyDescent="0.25">
      <c r="A91" s="12"/>
      <c r="B91" s="12"/>
      <c r="C91" s="12"/>
      <c r="D91"/>
      <c r="E91" s="24"/>
      <c r="F91" s="3"/>
      <c r="G91" s="23"/>
      <c r="H91" s="26"/>
      <c r="I91" s="33"/>
      <c r="J91" s="22"/>
      <c r="K91" s="10"/>
      <c r="L91" s="29"/>
      <c r="N91" s="3"/>
      <c r="O91" s="10"/>
      <c r="P91" s="10"/>
      <c r="Q91" s="5"/>
      <c r="R91" s="10"/>
      <c r="S91" s="10"/>
      <c r="U91" s="10"/>
      <c r="V91" s="10"/>
      <c r="W91" s="10"/>
      <c r="X91" s="10"/>
      <c r="Y91" s="10"/>
      <c r="Z91" s="10"/>
      <c r="AA91" s="12"/>
    </row>
    <row r="92" spans="1:35" s="10" customFormat="1" x14ac:dyDescent="0.25">
      <c r="A92" s="34"/>
      <c r="B92" s="34"/>
      <c r="C92" s="34"/>
      <c r="D92" s="40"/>
      <c r="E92" s="24"/>
      <c r="F92" s="3"/>
      <c r="G92" s="3"/>
      <c r="H92" s="3"/>
      <c r="I92" s="33"/>
      <c r="J92" s="3"/>
      <c r="L92" s="29"/>
      <c r="M92" s="34"/>
      <c r="N92" s="3"/>
      <c r="O92" s="3"/>
      <c r="P92" s="3"/>
      <c r="Q92" s="5"/>
      <c r="R92" s="34"/>
      <c r="S92" s="34"/>
      <c r="T92" s="34"/>
      <c r="U92" s="34"/>
      <c r="V92" s="34"/>
      <c r="W92" s="34"/>
      <c r="X92" s="34"/>
      <c r="Y92" s="34"/>
      <c r="Z92" s="34"/>
      <c r="AA92" s="34"/>
      <c r="AB92" s="12"/>
      <c r="AC92" s="12"/>
      <c r="AD92" s="12"/>
      <c r="AE92" s="12"/>
      <c r="AF92" s="12"/>
      <c r="AG92" s="12"/>
      <c r="AH92" s="12"/>
      <c r="AI92" s="12"/>
    </row>
    <row r="93" spans="1:35" s="10" customFormat="1" x14ac:dyDescent="0.25">
      <c r="A93" s="12"/>
      <c r="B93" s="12"/>
      <c r="C93" s="12"/>
      <c r="D93"/>
      <c r="I93" s="33"/>
      <c r="AA93" s="12"/>
      <c r="AB93" s="12"/>
      <c r="AC93" s="12"/>
      <c r="AD93" s="12"/>
      <c r="AE93" s="12"/>
      <c r="AF93" s="12"/>
      <c r="AG93" s="12"/>
      <c r="AH93" s="12"/>
      <c r="AI93" s="12"/>
    </row>
    <row r="94" spans="1:35" s="10" customFormat="1" x14ac:dyDescent="0.25">
      <c r="A94" s="12"/>
      <c r="B94" s="12"/>
      <c r="C94" s="12"/>
      <c r="D94"/>
      <c r="U94"/>
      <c r="V94"/>
      <c r="W94"/>
      <c r="X94"/>
      <c r="Y94"/>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3"/>
      <c r="H106" s="26"/>
      <c r="I106" s="22"/>
      <c r="J106" s="22"/>
      <c r="K106" s="22"/>
      <c r="L106" s="22"/>
      <c r="M106" s="21"/>
      <c r="N106" s="22"/>
      <c r="O106" s="22"/>
      <c r="P106" s="22"/>
      <c r="Q106" s="23"/>
      <c r="R106" s="23"/>
      <c r="S106" s="22"/>
      <c r="T106" s="21"/>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3"/>
      <c r="H107" s="26"/>
      <c r="I107" s="22"/>
      <c r="J107" s="22"/>
      <c r="K107" s="22"/>
      <c r="L107" s="22"/>
      <c r="M107" s="21"/>
      <c r="N107" s="22"/>
      <c r="O107" s="22"/>
      <c r="P107" s="22"/>
      <c r="Q107" s="23"/>
      <c r="R107" s="23"/>
      <c r="S107" s="22"/>
      <c r="T107" s="21"/>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1"/>
      <c r="N108" s="22"/>
      <c r="O108" s="22"/>
      <c r="P108" s="22"/>
      <c r="Q108" s="23"/>
      <c r="R108" s="23"/>
      <c r="S108" s="22"/>
      <c r="T108" s="21"/>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24"/>
      <c r="F109" s="23"/>
      <c r="G109" s="23"/>
      <c r="H109" s="26"/>
      <c r="I109" s="22"/>
      <c r="J109" s="22"/>
      <c r="K109" s="22"/>
      <c r="L109" s="22"/>
      <c r="M109" s="21"/>
      <c r="N109" s="22"/>
      <c r="O109" s="22"/>
      <c r="P109" s="22"/>
      <c r="Q109" s="23"/>
      <c r="R109" s="23"/>
      <c r="S109" s="22"/>
      <c r="T109" s="21"/>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24"/>
      <c r="F110" s="23"/>
      <c r="G110" s="23"/>
      <c r="H110" s="26"/>
      <c r="I110" s="22"/>
      <c r="J110" s="22"/>
      <c r="K110" s="22"/>
      <c r="L110" s="22"/>
      <c r="M110" s="21"/>
      <c r="N110" s="22"/>
      <c r="O110" s="22"/>
      <c r="P110" s="22"/>
      <c r="Q110" s="23"/>
      <c r="R110" s="23"/>
      <c r="S110" s="22"/>
      <c r="T110" s="21"/>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24"/>
      <c r="F111" s="23"/>
      <c r="G111" s="23"/>
      <c r="H111" s="26"/>
      <c r="I111" s="22"/>
      <c r="J111" s="22"/>
      <c r="K111" s="22"/>
      <c r="L111" s="22"/>
      <c r="M111" s="21"/>
      <c r="N111" s="22"/>
      <c r="O111" s="22"/>
      <c r="P111" s="22"/>
      <c r="Q111" s="23"/>
      <c r="R111" s="23"/>
      <c r="S111" s="22"/>
      <c r="T111" s="21"/>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24"/>
      <c r="F112" s="23"/>
      <c r="G112" s="23"/>
      <c r="H112" s="26"/>
      <c r="I112" s="22"/>
      <c r="J112" s="22"/>
      <c r="K112" s="22"/>
      <c r="L112" s="22"/>
      <c r="M112" s="21"/>
      <c r="N112" s="22"/>
      <c r="O112" s="22"/>
      <c r="P112" s="22"/>
      <c r="Q112" s="23"/>
      <c r="R112" s="23"/>
      <c r="S112" s="22"/>
      <c r="T112" s="21"/>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6"/>
      <c r="I113" s="22"/>
      <c r="J113" s="22"/>
      <c r="K113" s="22"/>
      <c r="L113" s="22"/>
      <c r="M113" s="21"/>
      <c r="N113" s="22"/>
      <c r="O113" s="22"/>
      <c r="P113" s="22"/>
      <c r="Q113" s="23"/>
      <c r="R113" s="23"/>
      <c r="S113" s="22"/>
      <c r="T113" s="21"/>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24"/>
      <c r="F114" s="23"/>
      <c r="G114" s="23"/>
      <c r="H114" s="26"/>
      <c r="I114" s="22"/>
      <c r="J114" s="22"/>
      <c r="K114" s="22"/>
      <c r="L114" s="22"/>
      <c r="M114" s="21"/>
      <c r="N114" s="22"/>
      <c r="O114" s="22"/>
      <c r="P114" s="22"/>
      <c r="Q114" s="23"/>
      <c r="R114" s="23"/>
      <c r="S114" s="22"/>
      <c r="T114" s="21"/>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24"/>
      <c r="F115" s="23"/>
      <c r="G115" s="22"/>
      <c r="H115" s="25"/>
      <c r="I115" s="22"/>
      <c r="J115" s="22"/>
      <c r="K115" s="22"/>
      <c r="L115" s="22"/>
      <c r="M115" s="24"/>
      <c r="N115" s="22"/>
      <c r="O115" s="22"/>
      <c r="P115" s="22"/>
      <c r="Q115" s="22"/>
      <c r="R115" s="22"/>
      <c r="S115" s="22"/>
      <c r="T115" s="19"/>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4"/>
      <c r="F116" s="23"/>
      <c r="G116" s="22"/>
      <c r="H116" s="22"/>
      <c r="I116" s="22"/>
      <c r="J116" s="22"/>
      <c r="K116" s="22"/>
      <c r="L116" s="22"/>
      <c r="M116" s="21"/>
      <c r="N116" s="22"/>
      <c r="O116" s="22"/>
      <c r="P116" s="22"/>
      <c r="Q116" s="22"/>
      <c r="R116" s="22"/>
      <c r="S116" s="22"/>
      <c r="T116" s="19"/>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6"/>
      <c r="I117" s="22"/>
      <c r="J117" s="22"/>
      <c r="K117" s="22"/>
      <c r="L117" s="22"/>
      <c r="M117" s="24"/>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19"/>
      <c r="F118" s="23"/>
      <c r="G118" s="22"/>
      <c r="H118" s="22"/>
      <c r="I118" s="22"/>
      <c r="J118" s="22"/>
      <c r="K118" s="22"/>
      <c r="L118" s="23"/>
      <c r="M118" s="24"/>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19"/>
      <c r="F119" s="23"/>
      <c r="G119" s="22"/>
      <c r="H119" s="25"/>
      <c r="I119" s="22"/>
      <c r="J119" s="22"/>
      <c r="K119" s="22"/>
      <c r="L119" s="23"/>
      <c r="M119" s="24"/>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19"/>
      <c r="F120" s="23"/>
      <c r="G120" s="22"/>
      <c r="H120" s="22"/>
      <c r="I120" s="22"/>
      <c r="J120" s="22"/>
      <c r="K120" s="22"/>
      <c r="L120" s="23"/>
      <c r="M120" s="24"/>
      <c r="N120" s="22"/>
      <c r="O120" s="22"/>
      <c r="P120" s="22"/>
      <c r="Q120" s="22"/>
      <c r="R120" s="28"/>
      <c r="S120" s="22"/>
      <c r="T120" s="24"/>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19"/>
      <c r="F121" s="23"/>
      <c r="G121" s="22"/>
      <c r="H121" s="22"/>
      <c r="I121" s="22"/>
      <c r="J121" s="22"/>
      <c r="K121" s="22"/>
      <c r="L121" s="23"/>
      <c r="M121" s="24"/>
      <c r="N121" s="22"/>
      <c r="O121" s="22"/>
      <c r="P121" s="22"/>
      <c r="Q121" s="22"/>
      <c r="R121" s="28"/>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3"/>
      <c r="I122" s="22"/>
      <c r="J122" s="22"/>
      <c r="K122" s="22"/>
      <c r="L122" s="22"/>
      <c r="M122" s="24"/>
      <c r="N122" s="22"/>
      <c r="O122" s="22"/>
      <c r="P122" s="22"/>
      <c r="Q122" s="22"/>
      <c r="R122" s="28"/>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19"/>
      <c r="F123" s="23"/>
      <c r="G123" s="22"/>
      <c r="H123" s="22"/>
      <c r="I123" s="22"/>
      <c r="J123" s="22"/>
      <c r="K123" s="22"/>
      <c r="L123" s="23"/>
      <c r="M123" s="24"/>
      <c r="N123" s="22"/>
      <c r="O123" s="22"/>
      <c r="P123" s="22"/>
      <c r="Q123" s="22"/>
      <c r="R123" s="28"/>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19"/>
      <c r="F124" s="23"/>
      <c r="G124" s="22"/>
      <c r="H124" s="22"/>
      <c r="I124" s="22"/>
      <c r="J124" s="22"/>
      <c r="K124" s="22"/>
      <c r="L124" s="23"/>
      <c r="M124" s="21"/>
      <c r="N124" s="22"/>
      <c r="O124" s="22"/>
      <c r="P124" s="22"/>
      <c r="Q124" s="22"/>
      <c r="R124" s="28"/>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1"/>
      <c r="F125" s="23"/>
      <c r="G125" s="23"/>
      <c r="H125" s="23"/>
      <c r="I125" s="22"/>
      <c r="J125" s="22"/>
      <c r="K125" s="22"/>
      <c r="L125" s="22"/>
      <c r="M125" s="21"/>
      <c r="N125" s="22"/>
      <c r="O125" s="22"/>
      <c r="P125" s="22"/>
      <c r="Q125" s="22"/>
      <c r="R125" s="22"/>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3"/>
      <c r="I126" s="22"/>
      <c r="J126" s="22"/>
      <c r="K126" s="22"/>
      <c r="L126" s="23"/>
      <c r="M126" s="21"/>
      <c r="N126" s="22"/>
      <c r="O126" s="22"/>
      <c r="P126" s="22"/>
      <c r="Q126" s="22"/>
      <c r="R126" s="28"/>
      <c r="S126" s="22"/>
      <c r="T126" s="24"/>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3"/>
      <c r="I127" s="22"/>
      <c r="J127" s="22"/>
      <c r="K127" s="22"/>
      <c r="L127" s="23"/>
      <c r="M127" s="21"/>
      <c r="N127" s="22"/>
      <c r="O127" s="22"/>
      <c r="P127" s="22"/>
      <c r="Q127" s="22"/>
      <c r="R127" s="28"/>
      <c r="S127" s="22"/>
      <c r="T127" s="24"/>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3"/>
      <c r="I128" s="22"/>
      <c r="J128" s="22"/>
      <c r="K128" s="22"/>
      <c r="L128" s="22"/>
      <c r="M128" s="21"/>
      <c r="N128" s="22"/>
      <c r="O128" s="22"/>
      <c r="P128" s="22"/>
      <c r="Q128" s="22"/>
      <c r="R128" s="28"/>
      <c r="S128" s="22"/>
      <c r="T128" s="24"/>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30"/>
      <c r="N129" s="22"/>
      <c r="O129" s="22"/>
      <c r="P129" s="22"/>
      <c r="Q129" s="23"/>
      <c r="R129" s="23"/>
      <c r="S129" s="22"/>
      <c r="T129" s="27"/>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4"/>
      <c r="N130" s="22"/>
      <c r="O130" s="22"/>
      <c r="P130" s="22"/>
      <c r="Q130" s="23"/>
      <c r="R130" s="23"/>
      <c r="S130" s="22"/>
      <c r="T130" s="24"/>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4"/>
      <c r="F131" s="23"/>
      <c r="G131" s="23"/>
      <c r="H131" s="26"/>
      <c r="I131" s="22"/>
      <c r="J131" s="22"/>
      <c r="K131" s="22"/>
      <c r="L131" s="22"/>
      <c r="M131" s="24"/>
      <c r="N131" s="22"/>
      <c r="O131" s="22"/>
      <c r="P131" s="22"/>
      <c r="Q131" s="23"/>
      <c r="R131" s="23"/>
      <c r="S131" s="22"/>
      <c r="T131" s="24"/>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6"/>
      <c r="I132" s="22"/>
      <c r="J132" s="22"/>
      <c r="K132" s="22"/>
      <c r="L132" s="22"/>
      <c r="M132" s="24"/>
      <c r="N132" s="22"/>
      <c r="O132" s="22"/>
      <c r="P132" s="22"/>
      <c r="Q132" s="23"/>
      <c r="R132" s="23"/>
      <c r="S132" s="22"/>
      <c r="T132" s="24"/>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6"/>
      <c r="I133" s="22"/>
      <c r="J133" s="22"/>
      <c r="K133" s="22"/>
      <c r="L133" s="22"/>
      <c r="M133" s="24"/>
      <c r="N133" s="22"/>
      <c r="O133" s="22"/>
      <c r="P133" s="22"/>
      <c r="Q133" s="23"/>
      <c r="R133" s="23"/>
      <c r="S133" s="22"/>
      <c r="T133" s="24"/>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6"/>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6"/>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6"/>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6"/>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3"/>
      <c r="R139" s="23"/>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4"/>
      <c r="F141" s="23"/>
      <c r="G141" s="23"/>
      <c r="H141" s="23"/>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4"/>
      <c r="F142" s="23"/>
      <c r="G142" s="23"/>
      <c r="H142" s="23"/>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4"/>
      <c r="F143" s="23"/>
      <c r="G143" s="23"/>
      <c r="H143" s="23"/>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4"/>
      <c r="F144" s="23"/>
      <c r="G144" s="23"/>
      <c r="H144" s="23"/>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4"/>
      <c r="F145" s="23"/>
      <c r="G145" s="23"/>
      <c r="H145" s="23"/>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4"/>
      <c r="F146" s="23"/>
      <c r="G146" s="23"/>
      <c r="H146" s="23"/>
      <c r="I146" s="22"/>
      <c r="J146" s="22"/>
      <c r="K146" s="22"/>
      <c r="L146" s="22"/>
      <c r="M146" s="21"/>
      <c r="N146" s="22"/>
      <c r="O146" s="22"/>
      <c r="P146" s="22"/>
      <c r="Q146" s="23"/>
      <c r="R146" s="23"/>
      <c r="S146" s="22"/>
      <c r="T146" s="21"/>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4"/>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2"/>
      <c r="R148" s="28"/>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1"/>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1"/>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1"/>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1"/>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1"/>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1"/>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2"/>
      <c r="F155" s="22"/>
      <c r="G155" s="22"/>
      <c r="H155" s="22"/>
      <c r="I155" s="22"/>
      <c r="J155" s="22"/>
      <c r="K155" s="22"/>
      <c r="L155" s="22"/>
      <c r="M155" s="22"/>
      <c r="N155" s="22"/>
      <c r="O155" s="22"/>
      <c r="P155" s="22"/>
      <c r="Q155" s="22"/>
      <c r="R155" s="28"/>
      <c r="S155" s="22"/>
      <c r="T155" s="22"/>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1"/>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c r="Z179" s="12"/>
      <c r="AA179" s="12"/>
      <c r="AB179" s="12"/>
      <c r="AC179" s="12"/>
      <c r="AD179" s="12"/>
      <c r="AE179" s="12"/>
      <c r="AF179" s="12"/>
      <c r="AG179" s="12"/>
      <c r="AH179" s="12"/>
      <c r="AI179" s="12"/>
    </row>
    <row r="180" spans="1:35" s="10" customFormat="1" x14ac:dyDescent="0.25">
      <c r="A180" s="12"/>
      <c r="B180" s="12"/>
      <c r="C180" s="12"/>
      <c r="D180"/>
      <c r="E180" s="24"/>
      <c r="F180" s="23"/>
      <c r="G180" s="23"/>
      <c r="H180" s="26"/>
      <c r="I180" s="22"/>
      <c r="J180" s="22"/>
      <c r="K180" s="22"/>
      <c r="L180" s="22"/>
      <c r="M180" s="21"/>
      <c r="N180" s="22"/>
      <c r="O180" s="22"/>
      <c r="P180" s="22"/>
      <c r="Q180" s="23"/>
      <c r="R180" s="23"/>
      <c r="S180" s="22"/>
      <c r="T180" s="21"/>
      <c r="U180"/>
      <c r="V180"/>
      <c r="W180"/>
      <c r="X180"/>
      <c r="Y180"/>
      <c r="Z180" s="12"/>
      <c r="AA180" s="12"/>
      <c r="AB180" s="12"/>
      <c r="AC180" s="12"/>
      <c r="AD180" s="12"/>
      <c r="AE180" s="12"/>
      <c r="AF180" s="12"/>
      <c r="AG180" s="12"/>
      <c r="AH180" s="12"/>
      <c r="AI180" s="12"/>
    </row>
    <row r="181" spans="1:35" s="10" customFormat="1" x14ac:dyDescent="0.25">
      <c r="A181" s="12"/>
      <c r="B181" s="12"/>
      <c r="C181" s="12"/>
      <c r="D181"/>
      <c r="E181" s="24"/>
      <c r="F181" s="23"/>
      <c r="G181" s="23"/>
      <c r="H181" s="26"/>
      <c r="I181" s="22"/>
      <c r="J181" s="22"/>
      <c r="K181" s="22"/>
      <c r="L181" s="22"/>
      <c r="M181" s="21"/>
      <c r="N181" s="22"/>
      <c r="O181" s="22"/>
      <c r="P181" s="22"/>
      <c r="Q181" s="23"/>
      <c r="R181" s="23"/>
      <c r="S181" s="22"/>
      <c r="T181" s="21"/>
      <c r="U181"/>
      <c r="V181"/>
      <c r="W181"/>
      <c r="X181"/>
      <c r="Y181"/>
      <c r="Z181" s="12"/>
      <c r="AA181" s="12"/>
      <c r="AB181" s="12"/>
      <c r="AC181" s="12"/>
      <c r="AD181" s="12"/>
      <c r="AE181" s="12"/>
      <c r="AF181" s="12"/>
      <c r="AG181" s="12"/>
      <c r="AH181" s="12"/>
      <c r="AI181" s="12"/>
    </row>
    <row r="182" spans="1:35" s="10" customFormat="1" x14ac:dyDescent="0.25">
      <c r="A182" s="12"/>
      <c r="B182" s="12"/>
      <c r="C182" s="12"/>
      <c r="D182"/>
      <c r="E182" s="24"/>
      <c r="F182" s="23"/>
      <c r="G182" s="23"/>
      <c r="H182" s="26"/>
      <c r="I182" s="22"/>
      <c r="J182" s="22"/>
      <c r="K182" s="22"/>
      <c r="L182" s="22"/>
      <c r="M182" s="21"/>
      <c r="N182" s="22"/>
      <c r="O182" s="22"/>
      <c r="P182" s="22"/>
      <c r="Q182" s="23"/>
      <c r="R182" s="23"/>
      <c r="S182" s="22"/>
      <c r="T182" s="21"/>
      <c r="U182"/>
      <c r="V182"/>
      <c r="W182"/>
      <c r="X182"/>
      <c r="Y182"/>
      <c r="Z182" s="12"/>
      <c r="AA182" s="12"/>
      <c r="AB182" s="12"/>
      <c r="AC182" s="12"/>
      <c r="AD182" s="12"/>
      <c r="AE182" s="12"/>
      <c r="AF182" s="12"/>
      <c r="AG182" s="12"/>
      <c r="AH182" s="12"/>
      <c r="AI182" s="12"/>
    </row>
    <row r="183" spans="1:35" s="10" customFormat="1" x14ac:dyDescent="0.25">
      <c r="A183" s="12"/>
      <c r="B183" s="12"/>
      <c r="C183" s="12"/>
      <c r="D183"/>
      <c r="E183" s="24"/>
      <c r="F183" s="23"/>
      <c r="G183" s="23"/>
      <c r="H183" s="26"/>
      <c r="I183" s="22"/>
      <c r="J183" s="22"/>
      <c r="K183" s="22"/>
      <c r="L183" s="22"/>
      <c r="M183" s="21"/>
      <c r="N183" s="22"/>
      <c r="O183" s="22"/>
      <c r="P183" s="22"/>
      <c r="Q183" s="23"/>
      <c r="R183" s="23"/>
      <c r="S183" s="22"/>
      <c r="T183" s="21"/>
      <c r="U183"/>
      <c r="V183"/>
      <c r="W183"/>
      <c r="X183"/>
      <c r="Y183"/>
      <c r="Z183" s="12"/>
      <c r="AA183" s="12"/>
      <c r="AB183" s="12"/>
      <c r="AC183" s="12"/>
      <c r="AD183" s="12"/>
      <c r="AE183" s="12"/>
      <c r="AF183" s="12"/>
      <c r="AG183" s="12"/>
      <c r="AH183" s="12"/>
      <c r="AI183" s="12"/>
    </row>
    <row r="184" spans="1:35" s="10" customFormat="1" x14ac:dyDescent="0.25">
      <c r="A184" s="12"/>
      <c r="B184" s="12"/>
      <c r="C184" s="12"/>
      <c r="D184"/>
      <c r="E184" s="24"/>
      <c r="F184" s="23"/>
      <c r="G184" s="23"/>
      <c r="H184" s="26"/>
      <c r="I184" s="22"/>
      <c r="J184" s="22"/>
      <c r="K184" s="22"/>
      <c r="L184" s="22"/>
      <c r="M184" s="21"/>
      <c r="N184" s="22"/>
      <c r="O184" s="22"/>
      <c r="P184" s="22"/>
      <c r="Q184" s="23"/>
      <c r="R184" s="23"/>
      <c r="S184" s="22"/>
      <c r="T184" s="21"/>
      <c r="U184"/>
      <c r="V184"/>
      <c r="W184"/>
      <c r="X184"/>
      <c r="Y184"/>
      <c r="Z184" s="12"/>
      <c r="AA184" s="12"/>
      <c r="AB184" s="12"/>
      <c r="AC184" s="12"/>
      <c r="AD184" s="12"/>
      <c r="AE184" s="12"/>
      <c r="AF184" s="12"/>
      <c r="AG184" s="12"/>
      <c r="AH184" s="12"/>
      <c r="AI184" s="12"/>
    </row>
    <row r="185" spans="1:35" s="10" customFormat="1" x14ac:dyDescent="0.25">
      <c r="A185" s="12"/>
      <c r="B185" s="12"/>
      <c r="C185" s="12"/>
      <c r="D185"/>
      <c r="E185" s="24"/>
      <c r="F185" s="23"/>
      <c r="G185" s="23"/>
      <c r="H185" s="26"/>
      <c r="I185" s="22"/>
      <c r="J185" s="22"/>
      <c r="K185" s="22"/>
      <c r="L185" s="22"/>
      <c r="M185" s="21"/>
      <c r="N185" s="22"/>
      <c r="O185" s="22"/>
      <c r="P185" s="22"/>
      <c r="Q185" s="23"/>
      <c r="R185" s="23"/>
      <c r="S185" s="22"/>
      <c r="T185" s="21"/>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s="24"/>
      <c r="F186" s="23"/>
      <c r="G186" s="23"/>
      <c r="H186" s="26"/>
      <c r="I186" s="22"/>
      <c r="J186" s="22"/>
      <c r="K186" s="22"/>
      <c r="L186" s="22"/>
      <c r="M186" s="21"/>
      <c r="N186" s="22"/>
      <c r="O186" s="22"/>
      <c r="P186" s="22"/>
      <c r="Q186" s="23"/>
      <c r="R186" s="23"/>
      <c r="S186" s="22"/>
      <c r="T186" s="21"/>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s="24"/>
      <c r="F187" s="23"/>
      <c r="G187" s="23"/>
      <c r="H187" s="26"/>
      <c r="I187" s="22"/>
      <c r="J187" s="22"/>
      <c r="K187" s="22"/>
      <c r="L187" s="22"/>
      <c r="M187" s="21"/>
      <c r="N187" s="22"/>
      <c r="O187" s="22"/>
      <c r="P187" s="22"/>
      <c r="Q187" s="23"/>
      <c r="R187" s="23"/>
      <c r="S187" s="22"/>
      <c r="T187" s="21"/>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s="24"/>
      <c r="F188" s="23"/>
      <c r="G188" s="23"/>
      <c r="H188" s="26"/>
      <c r="I188" s="22"/>
      <c r="J188" s="22"/>
      <c r="K188" s="22"/>
      <c r="L188" s="22"/>
      <c r="M188" s="21"/>
      <c r="N188" s="22"/>
      <c r="O188" s="22"/>
      <c r="P188" s="22"/>
      <c r="Q188" s="23"/>
      <c r="R188" s="23"/>
      <c r="S188" s="22"/>
      <c r="T188" s="21"/>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s="24"/>
      <c r="F189" s="23"/>
      <c r="G189" s="22"/>
      <c r="H189" s="25"/>
      <c r="I189" s="22"/>
      <c r="J189" s="22"/>
      <c r="K189" s="22"/>
      <c r="L189" s="22"/>
      <c r="M189" s="24"/>
      <c r="N189" s="22"/>
      <c r="O189" s="22"/>
      <c r="P189" s="22"/>
      <c r="Q189" s="22"/>
      <c r="R189" s="22"/>
      <c r="S189" s="22"/>
      <c r="T189" s="1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c r="F193"/>
      <c r="G193"/>
      <c r="H193"/>
      <c r="I193"/>
      <c r="J193"/>
      <c r="K193"/>
      <c r="L193"/>
      <c r="M193"/>
      <c r="N193"/>
      <c r="O193"/>
      <c r="P193"/>
      <c r="Q193"/>
      <c r="R193"/>
      <c r="S193"/>
      <c r="T193"/>
      <c r="U193"/>
      <c r="V193"/>
      <c r="W193"/>
      <c r="X193"/>
      <c r="Y193" s="12"/>
      <c r="Z193" s="12"/>
      <c r="AA193" s="12"/>
      <c r="AB193" s="12"/>
      <c r="AC193" s="12"/>
      <c r="AD193" s="12"/>
      <c r="AE193" s="12"/>
      <c r="AF193" s="12"/>
      <c r="AG193" s="12"/>
      <c r="AH193" s="12"/>
      <c r="AI193" s="12"/>
    </row>
    <row r="194" spans="1:35" s="10" customFormat="1" x14ac:dyDescent="0.25">
      <c r="A194" s="12"/>
      <c r="B194" s="12"/>
      <c r="C194" s="12"/>
      <c r="D194"/>
      <c r="E194"/>
      <c r="F194"/>
      <c r="G194"/>
      <c r="H194"/>
      <c r="I194"/>
      <c r="J194"/>
      <c r="K194"/>
      <c r="L194"/>
      <c r="M194"/>
      <c r="N194"/>
      <c r="O194"/>
      <c r="P194"/>
      <c r="Q194"/>
      <c r="R194"/>
      <c r="S194"/>
      <c r="T194"/>
      <c r="U194"/>
      <c r="V194"/>
      <c r="W194"/>
      <c r="X194"/>
      <c r="Y194" s="12"/>
      <c r="Z194" s="12"/>
      <c r="AA194" s="12"/>
      <c r="AB194" s="12"/>
      <c r="AC194" s="12"/>
      <c r="AD194" s="12"/>
      <c r="AE194" s="12"/>
      <c r="AF194" s="12"/>
      <c r="AG194" s="12"/>
      <c r="AH194" s="12"/>
      <c r="AI194" s="12"/>
    </row>
    <row r="195" spans="1:35" s="10" customFormat="1" x14ac:dyDescent="0.25">
      <c r="A195" s="12"/>
      <c r="B195" s="12"/>
      <c r="C195" s="12"/>
      <c r="D195"/>
      <c r="E195"/>
      <c r="F195"/>
      <c r="G195"/>
      <c r="H195"/>
      <c r="I195"/>
      <c r="J195"/>
      <c r="K195"/>
      <c r="L195"/>
      <c r="M195"/>
      <c r="N195"/>
      <c r="O195"/>
      <c r="P195"/>
      <c r="Q195"/>
      <c r="R195"/>
      <c r="S195"/>
      <c r="T195"/>
      <c r="U195"/>
      <c r="V195"/>
      <c r="W195"/>
      <c r="X195"/>
      <c r="Y195" s="12"/>
      <c r="Z195" s="12"/>
      <c r="AA195" s="12"/>
      <c r="AB195" s="12"/>
      <c r="AC195" s="12"/>
      <c r="AD195" s="12"/>
      <c r="AE195" s="12"/>
      <c r="AF195" s="12"/>
      <c r="AG195" s="12"/>
      <c r="AH195" s="12"/>
      <c r="AI195" s="12"/>
    </row>
    <row r="196" spans="1:35" s="10" customFormat="1" x14ac:dyDescent="0.25">
      <c r="A196" s="12"/>
      <c r="B196" s="12"/>
      <c r="C196" s="12"/>
      <c r="D196"/>
      <c r="E196"/>
      <c r="F196"/>
      <c r="G196"/>
      <c r="H196"/>
      <c r="I196"/>
      <c r="J196"/>
      <c r="K196"/>
      <c r="L196"/>
      <c r="M196"/>
      <c r="N196"/>
      <c r="O196"/>
      <c r="P196"/>
      <c r="Q196"/>
      <c r="R196"/>
      <c r="S196"/>
      <c r="T196"/>
      <c r="U196"/>
      <c r="V196"/>
      <c r="W196"/>
      <c r="X196"/>
      <c r="Y196" s="12"/>
      <c r="Z196" s="12"/>
      <c r="AA196" s="12"/>
      <c r="AB196" s="12"/>
      <c r="AC196" s="12"/>
      <c r="AD196" s="12"/>
      <c r="AE196" s="12"/>
      <c r="AF196" s="12"/>
      <c r="AG196" s="12"/>
      <c r="AH196" s="12"/>
      <c r="AI196" s="12"/>
    </row>
    <row r="197" spans="1:35" s="10" customFormat="1" x14ac:dyDescent="0.25">
      <c r="A197" s="12"/>
      <c r="B197" s="12"/>
      <c r="C197" s="12"/>
      <c r="D197"/>
      <c r="E197"/>
      <c r="F197"/>
      <c r="G197"/>
      <c r="H197"/>
      <c r="I197"/>
      <c r="J197"/>
      <c r="K197"/>
      <c r="L197"/>
      <c r="M197"/>
      <c r="N197"/>
      <c r="O197"/>
      <c r="P197"/>
      <c r="Q197"/>
      <c r="R197"/>
      <c r="S197"/>
      <c r="T197"/>
      <c r="U197"/>
      <c r="V197"/>
      <c r="W197"/>
      <c r="X197"/>
      <c r="Y197" s="12"/>
      <c r="Z197" s="12"/>
      <c r="AA197" s="12"/>
      <c r="AB197" s="12"/>
      <c r="AC197" s="12"/>
      <c r="AD197" s="12"/>
      <c r="AE197" s="12"/>
      <c r="AF197" s="12"/>
      <c r="AG197" s="12"/>
      <c r="AH197" s="12"/>
      <c r="AI197" s="12"/>
    </row>
    <row r="198" spans="1:35" s="10" customFormat="1" x14ac:dyDescent="0.25">
      <c r="A198" s="12"/>
      <c r="B198" s="12"/>
      <c r="C198" s="12"/>
      <c r="D198"/>
      <c r="E198"/>
      <c r="F198"/>
      <c r="G198"/>
      <c r="H198"/>
      <c r="I198"/>
      <c r="J198"/>
      <c r="K198"/>
      <c r="L198"/>
      <c r="M198"/>
      <c r="N198"/>
      <c r="O198"/>
      <c r="P198"/>
      <c r="Q198"/>
      <c r="R198"/>
      <c r="S198"/>
      <c r="T198"/>
      <c r="U198"/>
      <c r="V198"/>
      <c r="W198"/>
      <c r="X198"/>
      <c r="Y198" s="12"/>
      <c r="Z198" s="12"/>
      <c r="AA198" s="12"/>
      <c r="AB198" s="12"/>
      <c r="AC198" s="12"/>
      <c r="AD198" s="12"/>
      <c r="AE198" s="12"/>
      <c r="AF198" s="12"/>
      <c r="AG198" s="12"/>
      <c r="AH198" s="12"/>
      <c r="AI198" s="12"/>
    </row>
    <row r="199" spans="1:35" s="10" customFormat="1" x14ac:dyDescent="0.25">
      <c r="A199" s="12"/>
      <c r="B199" s="12"/>
      <c r="C199" s="12"/>
      <c r="D199"/>
      <c r="E199"/>
      <c r="F199"/>
      <c r="G199"/>
      <c r="H199"/>
      <c r="I199"/>
      <c r="J199"/>
      <c r="K199"/>
      <c r="L199"/>
      <c r="M199"/>
      <c r="N199"/>
      <c r="O199"/>
      <c r="P199"/>
      <c r="Q199"/>
      <c r="R199"/>
      <c r="S199"/>
      <c r="T199"/>
      <c r="U199"/>
      <c r="V199"/>
      <c r="W199"/>
      <c r="X199"/>
      <c r="Y199" s="12"/>
      <c r="Z199" s="12"/>
      <c r="AA199" s="12"/>
      <c r="AB199" s="12"/>
      <c r="AC199" s="12"/>
      <c r="AD199" s="12"/>
      <c r="AE199" s="12"/>
      <c r="AF199" s="12"/>
      <c r="AG199" s="12"/>
      <c r="AH199" s="12"/>
      <c r="AI199" s="12"/>
    </row>
    <row r="200" spans="1:35" s="10" customFormat="1" x14ac:dyDescent="0.25">
      <c r="A200" s="12"/>
      <c r="B200" s="12"/>
      <c r="C200" s="12"/>
      <c r="D200"/>
      <c r="E200"/>
      <c r="F200"/>
      <c r="G200"/>
      <c r="H200"/>
      <c r="I200"/>
      <c r="J200"/>
      <c r="K200"/>
      <c r="L200"/>
      <c r="M200"/>
      <c r="N200"/>
      <c r="O200"/>
      <c r="P200"/>
      <c r="Q200"/>
      <c r="R200"/>
      <c r="S200"/>
      <c r="T200"/>
      <c r="U200"/>
      <c r="V200"/>
      <c r="W200"/>
      <c r="X200"/>
      <c r="Y200" s="12"/>
      <c r="Z200" s="12"/>
      <c r="AA200" s="12"/>
      <c r="AB200" s="12"/>
      <c r="AC200" s="12"/>
      <c r="AD200" s="12"/>
      <c r="AE200" s="12"/>
      <c r="AF200" s="12"/>
      <c r="AG200" s="12"/>
      <c r="AH200" s="12"/>
      <c r="AI200" s="12"/>
    </row>
    <row r="201" spans="1:35" s="10" customFormat="1" x14ac:dyDescent="0.25">
      <c r="A201" s="12"/>
      <c r="B201" s="12"/>
      <c r="C201" s="12"/>
      <c r="D201"/>
      <c r="E201"/>
      <c r="F201"/>
      <c r="G201"/>
      <c r="H201"/>
      <c r="I201"/>
      <c r="J201"/>
      <c r="K201"/>
      <c r="L201"/>
      <c r="M201"/>
      <c r="N201"/>
      <c r="O201"/>
      <c r="P201"/>
      <c r="Q201"/>
      <c r="R201"/>
      <c r="S201"/>
      <c r="T201"/>
      <c r="U201"/>
      <c r="V201"/>
      <c r="W201"/>
      <c r="X201"/>
      <c r="Y201" s="12"/>
      <c r="Z201" s="12"/>
      <c r="AA201" s="12"/>
      <c r="AB201" s="12"/>
      <c r="AC201" s="12"/>
      <c r="AD201" s="12"/>
      <c r="AE201" s="12"/>
      <c r="AF201" s="12"/>
      <c r="AG201" s="12"/>
      <c r="AH201" s="12"/>
      <c r="AI201" s="12"/>
    </row>
    <row r="202" spans="1:35" s="10" customFormat="1" x14ac:dyDescent="0.25">
      <c r="A202" s="12"/>
      <c r="B202" s="12"/>
      <c r="C202" s="12"/>
      <c r="D202"/>
      <c r="E202" s="24"/>
      <c r="F202" s="23"/>
      <c r="G202" s="22"/>
      <c r="H202" s="22"/>
      <c r="I202" s="22"/>
      <c r="J202" s="22"/>
      <c r="K202" s="22"/>
      <c r="L202" s="22"/>
      <c r="M202" s="21"/>
      <c r="N202" s="22"/>
      <c r="O202" s="22"/>
      <c r="P202" s="22"/>
      <c r="Q202" s="22"/>
      <c r="R202" s="22"/>
      <c r="S202" s="22"/>
      <c r="T202" s="19"/>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6"/>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19"/>
      <c r="F204" s="23"/>
      <c r="G204" s="22"/>
      <c r="H204" s="22"/>
      <c r="I204" s="22"/>
      <c r="J204" s="22"/>
      <c r="K204" s="22"/>
      <c r="L204" s="23"/>
      <c r="M204" s="24"/>
      <c r="N204" s="22"/>
      <c r="O204" s="22"/>
      <c r="P204" s="22"/>
      <c r="Q204" s="22"/>
      <c r="R204" s="28"/>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19"/>
      <c r="F205" s="23"/>
      <c r="G205" s="22"/>
      <c r="H205" s="22"/>
      <c r="I205" s="22"/>
      <c r="J205" s="22"/>
      <c r="K205" s="22"/>
      <c r="L205" s="23"/>
      <c r="M205" s="24"/>
      <c r="N205" s="22"/>
      <c r="O205" s="22"/>
      <c r="P205" s="22"/>
      <c r="Q205" s="22"/>
      <c r="R205" s="28"/>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19"/>
      <c r="F206" s="23"/>
      <c r="G206" s="22"/>
      <c r="H206" s="25"/>
      <c r="I206" s="22"/>
      <c r="J206" s="22"/>
      <c r="K206" s="22"/>
      <c r="L206" s="23"/>
      <c r="M206" s="24"/>
      <c r="N206" s="22"/>
      <c r="O206" s="22"/>
      <c r="P206" s="22"/>
      <c r="Q206" s="22"/>
      <c r="R206" s="28"/>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19"/>
      <c r="F207" s="23"/>
      <c r="G207" s="22"/>
      <c r="H207" s="22"/>
      <c r="I207" s="22"/>
      <c r="J207" s="22"/>
      <c r="K207" s="22"/>
      <c r="L207" s="23"/>
      <c r="M207" s="24"/>
      <c r="N207" s="22"/>
      <c r="O207" s="22"/>
      <c r="P207" s="22"/>
      <c r="Q207" s="22"/>
      <c r="R207" s="28"/>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19"/>
      <c r="F208" s="23"/>
      <c r="G208" s="22"/>
      <c r="H208" s="22"/>
      <c r="I208" s="22"/>
      <c r="J208" s="22"/>
      <c r="K208" s="22"/>
      <c r="L208" s="23"/>
      <c r="M208" s="24"/>
      <c r="N208" s="22"/>
      <c r="O208" s="22"/>
      <c r="P208" s="22"/>
      <c r="Q208" s="22"/>
      <c r="R208" s="28"/>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2"/>
      <c r="F209" s="23"/>
      <c r="G209" s="22"/>
      <c r="H209" s="22"/>
      <c r="I209" s="22"/>
      <c r="J209" s="22"/>
      <c r="K209" s="22"/>
      <c r="L209" s="23"/>
      <c r="M209" s="24"/>
      <c r="N209" s="22"/>
      <c r="O209" s="22"/>
      <c r="P209" s="22"/>
      <c r="Q209" s="22"/>
      <c r="R209" s="28"/>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2"/>
      <c r="F210" s="23"/>
      <c r="G210" s="22"/>
      <c r="H210" s="22"/>
      <c r="I210" s="22"/>
      <c r="J210" s="22"/>
      <c r="K210" s="22"/>
      <c r="L210" s="23"/>
      <c r="M210" s="24"/>
      <c r="N210" s="22"/>
      <c r="O210" s="22"/>
      <c r="P210" s="22"/>
      <c r="Q210" s="22"/>
      <c r="R210" s="28"/>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2"/>
      <c r="F211" s="23"/>
      <c r="G211" s="22"/>
      <c r="H211" s="22"/>
      <c r="I211" s="22"/>
      <c r="J211" s="22"/>
      <c r="K211" s="22"/>
      <c r="L211" s="23"/>
      <c r="M211" s="24"/>
      <c r="N211" s="22"/>
      <c r="O211" s="22"/>
      <c r="P211" s="22"/>
      <c r="Q211" s="22"/>
      <c r="R211" s="28"/>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3"/>
      <c r="I212" s="22"/>
      <c r="J212" s="22"/>
      <c r="K212" s="22"/>
      <c r="L212" s="22"/>
      <c r="M212" s="24"/>
      <c r="N212" s="22"/>
      <c r="O212" s="22"/>
      <c r="P212" s="22"/>
      <c r="Q212" s="22"/>
      <c r="R212" s="28"/>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3"/>
      <c r="I213" s="22"/>
      <c r="J213" s="22"/>
      <c r="K213" s="22"/>
      <c r="L213" s="22"/>
      <c r="M213" s="24"/>
      <c r="N213" s="22"/>
      <c r="O213" s="22"/>
      <c r="P213" s="22"/>
      <c r="Q213" s="23"/>
      <c r="R213" s="23"/>
      <c r="S213" s="22"/>
      <c r="T213" s="24"/>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3"/>
      <c r="H214" s="23"/>
      <c r="I214" s="22"/>
      <c r="J214" s="22"/>
      <c r="K214" s="22"/>
      <c r="L214" s="22"/>
      <c r="M214" s="24"/>
      <c r="N214" s="22"/>
      <c r="O214" s="22"/>
      <c r="P214" s="22"/>
      <c r="Q214" s="23"/>
      <c r="R214" s="23"/>
      <c r="S214" s="22"/>
      <c r="T214" s="24"/>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3"/>
      <c r="R215" s="23"/>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24"/>
      <c r="F216" s="23"/>
      <c r="G216" s="23"/>
      <c r="H216" s="26"/>
      <c r="I216" s="22"/>
      <c r="J216" s="22"/>
      <c r="K216" s="22"/>
      <c r="L216" s="22"/>
      <c r="M216" s="24"/>
      <c r="N216" s="22"/>
      <c r="O216" s="22"/>
      <c r="P216" s="22"/>
      <c r="Q216" s="23"/>
      <c r="R216" s="23"/>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24"/>
      <c r="F217" s="23"/>
      <c r="G217" s="23"/>
      <c r="H217" s="26"/>
      <c r="I217" s="22"/>
      <c r="J217" s="22"/>
      <c r="K217" s="22"/>
      <c r="L217" s="22"/>
      <c r="M217" s="24"/>
      <c r="N217" s="22"/>
      <c r="O217" s="22"/>
      <c r="P217" s="22"/>
      <c r="Q217" s="23"/>
      <c r="R217" s="23"/>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24"/>
      <c r="F218" s="23"/>
      <c r="G218" s="23"/>
      <c r="H218" s="26"/>
      <c r="I218" s="22"/>
      <c r="J218" s="22"/>
      <c r="K218" s="22"/>
      <c r="L218" s="22"/>
      <c r="M218" s="24"/>
      <c r="N218" s="22"/>
      <c r="O218" s="22"/>
      <c r="P218" s="22"/>
      <c r="Q218" s="23"/>
      <c r="R218" s="23"/>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24"/>
      <c r="F219" s="23"/>
      <c r="G219" s="23"/>
      <c r="H219" s="26"/>
      <c r="I219" s="22"/>
      <c r="J219" s="22"/>
      <c r="K219" s="22"/>
      <c r="L219" s="22"/>
      <c r="M219" s="24"/>
      <c r="N219" s="22"/>
      <c r="O219" s="22"/>
      <c r="P219" s="22"/>
      <c r="Q219" s="23"/>
      <c r="R219" s="23"/>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24"/>
      <c r="F220" s="23"/>
      <c r="G220" s="23"/>
      <c r="H220" s="26"/>
      <c r="I220" s="22"/>
      <c r="J220" s="22"/>
      <c r="K220" s="22"/>
      <c r="L220" s="22"/>
      <c r="M220" s="24"/>
      <c r="N220" s="22"/>
      <c r="O220" s="22"/>
      <c r="P220" s="22"/>
      <c r="Q220" s="23"/>
      <c r="R220" s="23"/>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4"/>
      <c r="F221" s="23"/>
      <c r="G221" s="23"/>
      <c r="H221" s="26"/>
      <c r="I221" s="22"/>
      <c r="J221" s="22"/>
      <c r="K221" s="22"/>
      <c r="L221" s="22"/>
      <c r="M221" s="24"/>
      <c r="N221" s="22"/>
      <c r="O221" s="22"/>
      <c r="P221" s="22"/>
      <c r="Q221" s="23"/>
      <c r="R221" s="23"/>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4"/>
      <c r="F222" s="23"/>
      <c r="G222" s="23"/>
      <c r="H222" s="26"/>
      <c r="I222" s="22"/>
      <c r="J222" s="22"/>
      <c r="K222" s="22"/>
      <c r="L222" s="22"/>
      <c r="M222" s="21"/>
      <c r="N222" s="22"/>
      <c r="O222" s="22"/>
      <c r="P222" s="22"/>
      <c r="Q222" s="22"/>
      <c r="R222" s="28"/>
      <c r="S222" s="22"/>
      <c r="T222" s="20"/>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4"/>
      <c r="F223" s="23"/>
      <c r="G223" s="22"/>
      <c r="H223" s="22"/>
      <c r="I223" s="22"/>
      <c r="J223" s="22"/>
      <c r="K223" s="22"/>
      <c r="L223" s="22"/>
      <c r="M223" s="21"/>
      <c r="N223" s="22"/>
      <c r="O223" s="22"/>
      <c r="P223" s="22"/>
      <c r="Q223" s="22"/>
      <c r="R223" s="22"/>
      <c r="S223" s="22"/>
      <c r="T223" s="19"/>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6"/>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19"/>
      <c r="F225" s="23"/>
      <c r="G225" s="22"/>
      <c r="H225" s="22"/>
      <c r="I225" s="22"/>
      <c r="J225" s="22"/>
      <c r="K225" s="22"/>
      <c r="L225" s="23"/>
      <c r="M225" s="24"/>
      <c r="N225" s="22"/>
      <c r="O225" s="22"/>
      <c r="P225" s="22"/>
      <c r="Q225" s="22"/>
      <c r="R225" s="28"/>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19"/>
      <c r="F226" s="23"/>
      <c r="G226" s="22"/>
      <c r="H226" s="22"/>
      <c r="I226" s="22"/>
      <c r="J226" s="22"/>
      <c r="K226" s="22"/>
      <c r="L226" s="23"/>
      <c r="M226" s="24"/>
      <c r="N226" s="22"/>
      <c r="O226" s="22"/>
      <c r="P226" s="22"/>
      <c r="Q226" s="22"/>
      <c r="R226" s="28"/>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19"/>
      <c r="F227" s="23"/>
      <c r="G227" s="22"/>
      <c r="H227" s="25"/>
      <c r="I227" s="22"/>
      <c r="J227" s="22"/>
      <c r="K227" s="22"/>
      <c r="L227" s="23"/>
      <c r="M227" s="24"/>
      <c r="N227" s="22"/>
      <c r="O227" s="22"/>
      <c r="P227" s="22"/>
      <c r="Q227" s="22"/>
      <c r="R227" s="28"/>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19"/>
      <c r="F228" s="23"/>
      <c r="G228" s="22"/>
      <c r="H228" s="22"/>
      <c r="I228" s="22"/>
      <c r="J228" s="22"/>
      <c r="K228" s="22"/>
      <c r="L228" s="23"/>
      <c r="M228" s="24"/>
      <c r="N228" s="22"/>
      <c r="O228" s="22"/>
      <c r="P228" s="22"/>
      <c r="Q228" s="22"/>
      <c r="R228" s="28"/>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19"/>
      <c r="F229" s="23"/>
      <c r="G229" s="22"/>
      <c r="H229" s="22"/>
      <c r="I229" s="22"/>
      <c r="J229" s="22"/>
      <c r="K229" s="22"/>
      <c r="L229" s="23"/>
      <c r="M229" s="24"/>
      <c r="N229" s="22"/>
      <c r="O229" s="22"/>
      <c r="P229" s="22"/>
      <c r="Q229" s="22"/>
      <c r="R229" s="28"/>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2"/>
      <c r="F230" s="23"/>
      <c r="G230" s="22"/>
      <c r="H230" s="22"/>
      <c r="I230" s="22"/>
      <c r="J230" s="22"/>
      <c r="K230" s="22"/>
      <c r="L230" s="23"/>
      <c r="M230" s="24"/>
      <c r="N230" s="22"/>
      <c r="O230" s="22"/>
      <c r="P230" s="22"/>
      <c r="Q230" s="22"/>
      <c r="R230" s="28"/>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2"/>
      <c r="F231" s="23"/>
      <c r="G231" s="22"/>
      <c r="H231" s="22"/>
      <c r="I231" s="22"/>
      <c r="J231" s="22"/>
      <c r="K231" s="22"/>
      <c r="L231" s="23"/>
      <c r="M231" s="24"/>
      <c r="N231" s="22"/>
      <c r="O231" s="22"/>
      <c r="P231" s="22"/>
      <c r="Q231" s="22"/>
      <c r="R231" s="28"/>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2"/>
      <c r="F232" s="23"/>
      <c r="G232" s="22"/>
      <c r="H232" s="22"/>
      <c r="I232" s="22"/>
      <c r="J232" s="22"/>
      <c r="K232" s="22"/>
      <c r="L232" s="23"/>
      <c r="M232" s="24"/>
      <c r="N232" s="22"/>
      <c r="O232" s="22"/>
      <c r="P232" s="22"/>
      <c r="Q232" s="22"/>
      <c r="R232" s="28"/>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3"/>
      <c r="I233" s="22"/>
      <c r="J233" s="22"/>
      <c r="K233" s="22"/>
      <c r="L233" s="22"/>
      <c r="M233" s="24"/>
      <c r="N233" s="22"/>
      <c r="O233" s="22"/>
      <c r="P233" s="22"/>
      <c r="Q233" s="22"/>
      <c r="R233" s="28"/>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3"/>
      <c r="I234" s="22"/>
      <c r="J234" s="22"/>
      <c r="K234" s="22"/>
      <c r="L234" s="22"/>
      <c r="M234" s="24"/>
      <c r="N234" s="22"/>
      <c r="O234" s="22"/>
      <c r="P234" s="22"/>
      <c r="Q234" s="23"/>
      <c r="R234" s="23"/>
      <c r="S234" s="22"/>
      <c r="T234" s="24"/>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3"/>
      <c r="H235" s="23"/>
      <c r="I235" s="22"/>
      <c r="J235" s="22"/>
      <c r="K235" s="22"/>
      <c r="L235" s="22"/>
      <c r="M235" s="24"/>
      <c r="N235" s="22"/>
      <c r="O235" s="22"/>
      <c r="P235" s="22"/>
      <c r="Q235" s="23"/>
      <c r="R235" s="23"/>
      <c r="S235" s="22"/>
      <c r="T235" s="24"/>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3"/>
      <c r="R236" s="23"/>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24"/>
      <c r="F237" s="23"/>
      <c r="G237" s="23"/>
      <c r="H237" s="26"/>
      <c r="I237" s="22"/>
      <c r="J237" s="22"/>
      <c r="K237" s="22"/>
      <c r="L237" s="22"/>
      <c r="M237" s="24"/>
      <c r="N237" s="22"/>
      <c r="O237" s="22"/>
      <c r="P237" s="22"/>
      <c r="Q237" s="23"/>
      <c r="R237" s="23"/>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24"/>
      <c r="F238" s="23"/>
      <c r="G238" s="23"/>
      <c r="H238" s="26"/>
      <c r="I238" s="22"/>
      <c r="J238" s="22"/>
      <c r="K238" s="22"/>
      <c r="L238" s="22"/>
      <c r="M238" s="24"/>
      <c r="N238" s="22"/>
      <c r="O238" s="22"/>
      <c r="P238" s="22"/>
      <c r="Q238" s="23"/>
      <c r="R238" s="23"/>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24"/>
      <c r="F239" s="23"/>
      <c r="G239" s="23"/>
      <c r="H239" s="26"/>
      <c r="I239" s="22"/>
      <c r="J239" s="22"/>
      <c r="K239" s="22"/>
      <c r="L239" s="22"/>
      <c r="M239" s="24"/>
      <c r="N239" s="22"/>
      <c r="O239" s="22"/>
      <c r="P239" s="22"/>
      <c r="Q239" s="23"/>
      <c r="R239" s="23"/>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24"/>
      <c r="F240" s="23"/>
      <c r="G240" s="23"/>
      <c r="H240" s="26"/>
      <c r="I240" s="22"/>
      <c r="J240" s="22"/>
      <c r="K240" s="22"/>
      <c r="L240" s="22"/>
      <c r="M240" s="24"/>
      <c r="N240" s="22"/>
      <c r="O240" s="22"/>
      <c r="P240" s="22"/>
      <c r="Q240" s="23"/>
      <c r="R240" s="23"/>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24"/>
      <c r="F241" s="23"/>
      <c r="G241" s="23"/>
      <c r="H241" s="26"/>
      <c r="I241" s="22"/>
      <c r="J241" s="22"/>
      <c r="K241" s="22"/>
      <c r="L241" s="22"/>
      <c r="M241" s="24"/>
      <c r="N241" s="22"/>
      <c r="O241" s="22"/>
      <c r="P241" s="22"/>
      <c r="Q241" s="23"/>
      <c r="R241" s="23"/>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4"/>
      <c r="F242" s="23"/>
      <c r="G242" s="23"/>
      <c r="H242" s="26"/>
      <c r="I242" s="22"/>
      <c r="J242" s="22"/>
      <c r="K242" s="22"/>
      <c r="L242" s="22"/>
      <c r="M242" s="24"/>
      <c r="N242" s="22"/>
      <c r="O242" s="22"/>
      <c r="P242" s="22"/>
      <c r="Q242" s="23"/>
      <c r="R242" s="23"/>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4"/>
      <c r="F243" s="23"/>
      <c r="G243" s="23"/>
      <c r="H243" s="26"/>
      <c r="I243" s="22"/>
      <c r="J243" s="22"/>
      <c r="K243" s="22"/>
      <c r="L243" s="22"/>
      <c r="M243" s="21"/>
      <c r="N243" s="22"/>
      <c r="O243" s="22"/>
      <c r="P243" s="22"/>
      <c r="Q243" s="22"/>
      <c r="R243" s="28"/>
      <c r="S243" s="22"/>
      <c r="T243" s="20"/>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4"/>
      <c r="F244" s="23"/>
      <c r="G244" s="22"/>
      <c r="H244" s="22"/>
      <c r="I244" s="22"/>
      <c r="J244" s="22"/>
      <c r="K244" s="22"/>
      <c r="L244" s="22"/>
      <c r="M244" s="21"/>
      <c r="N244" s="22"/>
      <c r="O244" s="22"/>
      <c r="P244" s="22"/>
      <c r="Q244" s="22"/>
      <c r="R244" s="22"/>
      <c r="S244" s="22"/>
      <c r="T244" s="19"/>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6"/>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19"/>
      <c r="F246" s="23"/>
      <c r="G246" s="22"/>
      <c r="H246" s="22"/>
      <c r="I246" s="22"/>
      <c r="J246" s="22"/>
      <c r="K246" s="22"/>
      <c r="L246" s="23"/>
      <c r="M246" s="24"/>
      <c r="N246" s="22"/>
      <c r="O246" s="22"/>
      <c r="P246" s="22"/>
      <c r="Q246" s="22"/>
      <c r="R246" s="28"/>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19"/>
      <c r="F247" s="23"/>
      <c r="G247" s="22"/>
      <c r="H247" s="22"/>
      <c r="I247" s="22"/>
      <c r="J247" s="22"/>
      <c r="K247" s="22"/>
      <c r="L247" s="23"/>
      <c r="M247" s="24"/>
      <c r="N247" s="22"/>
      <c r="O247" s="22"/>
      <c r="P247" s="22"/>
      <c r="Q247" s="22"/>
      <c r="R247" s="28"/>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19"/>
      <c r="F248" s="23"/>
      <c r="G248" s="22"/>
      <c r="H248" s="25"/>
      <c r="I248" s="22"/>
      <c r="J248" s="22"/>
      <c r="K248" s="22"/>
      <c r="L248" s="23"/>
      <c r="M248" s="24"/>
      <c r="N248" s="22"/>
      <c r="O248" s="22"/>
      <c r="P248" s="22"/>
      <c r="Q248" s="22"/>
      <c r="R248" s="28"/>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19"/>
      <c r="F249" s="23"/>
      <c r="G249" s="22"/>
      <c r="H249" s="22"/>
      <c r="I249" s="22"/>
      <c r="J249" s="22"/>
      <c r="K249" s="22"/>
      <c r="L249" s="23"/>
      <c r="M249" s="24"/>
      <c r="N249" s="22"/>
      <c r="O249" s="22"/>
      <c r="P249" s="22"/>
      <c r="Q249" s="22"/>
      <c r="R249" s="28"/>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19"/>
      <c r="F250" s="23"/>
      <c r="G250" s="22"/>
      <c r="H250" s="22"/>
      <c r="I250" s="22"/>
      <c r="J250" s="22"/>
      <c r="K250" s="22"/>
      <c r="L250" s="23"/>
      <c r="M250" s="24"/>
      <c r="N250" s="22"/>
      <c r="O250" s="22"/>
      <c r="P250" s="22"/>
      <c r="Q250" s="22"/>
      <c r="R250" s="28"/>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2"/>
      <c r="F251" s="23"/>
      <c r="G251" s="22"/>
      <c r="H251" s="22"/>
      <c r="I251" s="22"/>
      <c r="J251" s="22"/>
      <c r="K251" s="22"/>
      <c r="L251" s="23"/>
      <c r="M251" s="24"/>
      <c r="N251" s="22"/>
      <c r="O251" s="22"/>
      <c r="P251" s="22"/>
      <c r="Q251" s="22"/>
      <c r="R251" s="28"/>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2"/>
      <c r="F252" s="23"/>
      <c r="G252" s="22"/>
      <c r="H252" s="22"/>
      <c r="I252" s="22"/>
      <c r="J252" s="22"/>
      <c r="K252" s="22"/>
      <c r="L252" s="23"/>
      <c r="M252" s="24"/>
      <c r="N252" s="22"/>
      <c r="O252" s="22"/>
      <c r="P252" s="22"/>
      <c r="Q252" s="22"/>
      <c r="R252" s="28"/>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2"/>
      <c r="F253" s="23"/>
      <c r="G253" s="22"/>
      <c r="H253" s="22"/>
      <c r="I253" s="22"/>
      <c r="J253" s="22"/>
      <c r="K253" s="22"/>
      <c r="L253" s="23"/>
      <c r="M253" s="24"/>
      <c r="N253" s="22"/>
      <c r="O253" s="22"/>
      <c r="P253" s="22"/>
      <c r="Q253" s="22"/>
      <c r="R253" s="28"/>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3"/>
      <c r="I254" s="22"/>
      <c r="J254" s="22"/>
      <c r="K254" s="22"/>
      <c r="L254" s="22"/>
      <c r="M254" s="24"/>
      <c r="N254" s="22"/>
      <c r="O254" s="22"/>
      <c r="P254" s="22"/>
      <c r="Q254" s="22"/>
      <c r="R254" s="28"/>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3"/>
      <c r="I255" s="22"/>
      <c r="J255" s="22"/>
      <c r="K255" s="22"/>
      <c r="L255" s="22"/>
      <c r="M255" s="24"/>
      <c r="N255" s="22"/>
      <c r="O255" s="22"/>
      <c r="P255" s="22"/>
      <c r="Q255" s="23"/>
      <c r="R255" s="23"/>
      <c r="S255" s="22"/>
      <c r="T255" s="24"/>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3"/>
      <c r="H256" s="23"/>
      <c r="I256" s="22"/>
      <c r="J256" s="22"/>
      <c r="K256" s="22"/>
      <c r="L256" s="22"/>
      <c r="M256" s="24"/>
      <c r="N256" s="22"/>
      <c r="O256" s="22"/>
      <c r="P256" s="22"/>
      <c r="Q256" s="23"/>
      <c r="R256" s="23"/>
      <c r="S256" s="22"/>
      <c r="T256" s="24"/>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3"/>
      <c r="R257" s="23"/>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24"/>
      <c r="F258" s="23"/>
      <c r="G258" s="23"/>
      <c r="H258" s="26"/>
      <c r="I258" s="22"/>
      <c r="J258" s="22"/>
      <c r="K258" s="22"/>
      <c r="L258" s="22"/>
      <c r="M258" s="24"/>
      <c r="N258" s="22"/>
      <c r="O258" s="22"/>
      <c r="P258" s="22"/>
      <c r="Q258" s="23"/>
      <c r="R258" s="23"/>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24"/>
      <c r="F259" s="23"/>
      <c r="G259" s="23"/>
      <c r="H259" s="26"/>
      <c r="I259" s="22"/>
      <c r="J259" s="22"/>
      <c r="K259" s="22"/>
      <c r="L259" s="22"/>
      <c r="M259" s="24"/>
      <c r="N259" s="22"/>
      <c r="O259" s="22"/>
      <c r="P259" s="22"/>
      <c r="Q259" s="23"/>
      <c r="R259" s="23"/>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24"/>
      <c r="F260" s="23"/>
      <c r="G260" s="23"/>
      <c r="H260" s="26"/>
      <c r="I260" s="22"/>
      <c r="J260" s="22"/>
      <c r="K260" s="22"/>
      <c r="L260" s="22"/>
      <c r="M260" s="24"/>
      <c r="N260" s="22"/>
      <c r="O260" s="22"/>
      <c r="P260" s="22"/>
      <c r="Q260" s="23"/>
      <c r="R260" s="23"/>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24"/>
      <c r="F261" s="23"/>
      <c r="G261" s="23"/>
      <c r="H261" s="26"/>
      <c r="I261" s="22"/>
      <c r="J261" s="22"/>
      <c r="K261" s="22"/>
      <c r="L261" s="22"/>
      <c r="M261" s="24"/>
      <c r="N261" s="22"/>
      <c r="O261" s="22"/>
      <c r="P261" s="22"/>
      <c r="Q261" s="23"/>
      <c r="R261" s="23"/>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24"/>
      <c r="F262" s="23"/>
      <c r="G262" s="23"/>
      <c r="H262" s="26"/>
      <c r="I262" s="22"/>
      <c r="J262" s="22"/>
      <c r="K262" s="22"/>
      <c r="L262" s="22"/>
      <c r="M262" s="24"/>
      <c r="N262" s="22"/>
      <c r="O262" s="22"/>
      <c r="P262" s="22"/>
      <c r="Q262" s="23"/>
      <c r="R262" s="23"/>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4"/>
      <c r="F263" s="23"/>
      <c r="G263" s="23"/>
      <c r="H263" s="26"/>
      <c r="I263" s="22"/>
      <c r="J263" s="22"/>
      <c r="K263" s="22"/>
      <c r="L263" s="22"/>
      <c r="M263" s="24"/>
      <c r="N263" s="22"/>
      <c r="O263" s="22"/>
      <c r="P263" s="22"/>
      <c r="Q263" s="23"/>
      <c r="R263" s="23"/>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4"/>
      <c r="F264" s="23"/>
      <c r="G264" s="23"/>
      <c r="H264" s="26"/>
      <c r="I264" s="22"/>
      <c r="J264" s="22"/>
      <c r="K264" s="22"/>
      <c r="L264" s="22"/>
      <c r="M264" s="21"/>
      <c r="N264" s="22"/>
      <c r="O264" s="22"/>
      <c r="P264" s="22"/>
      <c r="Q264" s="22"/>
      <c r="R264" s="28"/>
      <c r="S264" s="22"/>
      <c r="T264" s="20"/>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4"/>
      <c r="F265" s="23"/>
      <c r="G265" s="22"/>
      <c r="H265" s="22"/>
      <c r="I265" s="22"/>
      <c r="J265" s="22"/>
      <c r="K265" s="22"/>
      <c r="L265" s="22"/>
      <c r="M265" s="21"/>
      <c r="N265" s="22"/>
      <c r="O265" s="22"/>
      <c r="P265" s="22"/>
      <c r="Q265" s="22"/>
      <c r="R265" s="22"/>
      <c r="S265" s="22"/>
      <c r="T265" s="19"/>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6"/>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19"/>
      <c r="F267" s="23"/>
      <c r="G267" s="22"/>
      <c r="H267" s="22"/>
      <c r="I267" s="22"/>
      <c r="J267" s="22"/>
      <c r="K267" s="22"/>
      <c r="L267" s="23"/>
      <c r="M267" s="24"/>
      <c r="N267" s="22"/>
      <c r="O267" s="22"/>
      <c r="P267" s="22"/>
      <c r="Q267" s="22"/>
      <c r="R267" s="28"/>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19"/>
      <c r="F268" s="23"/>
      <c r="G268" s="22"/>
      <c r="H268" s="22"/>
      <c r="I268" s="22"/>
      <c r="J268" s="22"/>
      <c r="K268" s="22"/>
      <c r="L268" s="23"/>
      <c r="M268" s="24"/>
      <c r="N268" s="22"/>
      <c r="O268" s="22"/>
      <c r="P268" s="22"/>
      <c r="Q268" s="22"/>
      <c r="R268" s="28"/>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19"/>
      <c r="F269" s="23"/>
      <c r="G269" s="22"/>
      <c r="H269" s="25"/>
      <c r="I269" s="22"/>
      <c r="J269" s="22"/>
      <c r="K269" s="22"/>
      <c r="L269" s="23"/>
      <c r="M269" s="24"/>
      <c r="N269" s="22"/>
      <c r="O269" s="22"/>
      <c r="P269" s="22"/>
      <c r="Q269" s="22"/>
      <c r="R269" s="28"/>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19"/>
      <c r="F270" s="23"/>
      <c r="G270" s="22"/>
      <c r="H270" s="22"/>
      <c r="I270" s="22"/>
      <c r="J270" s="22"/>
      <c r="K270" s="22"/>
      <c r="L270" s="23"/>
      <c r="M270" s="24"/>
      <c r="N270" s="22"/>
      <c r="O270" s="22"/>
      <c r="P270" s="22"/>
      <c r="Q270" s="22"/>
      <c r="R270" s="28"/>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19"/>
      <c r="F271" s="23"/>
      <c r="G271" s="22"/>
      <c r="H271" s="22"/>
      <c r="I271" s="22"/>
      <c r="J271" s="22"/>
      <c r="K271" s="22"/>
      <c r="L271" s="23"/>
      <c r="M271" s="24"/>
      <c r="N271" s="22"/>
      <c r="O271" s="22"/>
      <c r="P271" s="22"/>
      <c r="Q271" s="22"/>
      <c r="R271" s="28"/>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2"/>
      <c r="F272" s="23"/>
      <c r="G272" s="22"/>
      <c r="H272" s="22"/>
      <c r="I272" s="22"/>
      <c r="J272" s="22"/>
      <c r="K272" s="22"/>
      <c r="L272" s="23"/>
      <c r="M272" s="24"/>
      <c r="N272" s="22"/>
      <c r="O272" s="22"/>
      <c r="P272" s="22"/>
      <c r="Q272" s="22"/>
      <c r="R272" s="28"/>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2"/>
      <c r="F273" s="23"/>
      <c r="G273" s="22"/>
      <c r="H273" s="22"/>
      <c r="I273" s="22"/>
      <c r="J273" s="22"/>
      <c r="K273" s="22"/>
      <c r="L273" s="23"/>
      <c r="M273" s="24"/>
      <c r="N273" s="22"/>
      <c r="O273" s="22"/>
      <c r="P273" s="22"/>
      <c r="Q273" s="22"/>
      <c r="R273" s="28"/>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2"/>
      <c r="F274" s="23"/>
      <c r="G274" s="22"/>
      <c r="H274" s="22"/>
      <c r="I274" s="22"/>
      <c r="J274" s="22"/>
      <c r="K274" s="22"/>
      <c r="L274" s="23"/>
      <c r="M274" s="24"/>
      <c r="N274" s="22"/>
      <c r="O274" s="22"/>
      <c r="P274" s="22"/>
      <c r="Q274" s="22"/>
      <c r="R274" s="28"/>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3"/>
      <c r="I275" s="22"/>
      <c r="J275" s="22"/>
      <c r="K275" s="22"/>
      <c r="L275" s="22"/>
      <c r="M275" s="24"/>
      <c r="N275" s="22"/>
      <c r="O275" s="22"/>
      <c r="P275" s="22"/>
      <c r="Q275" s="22"/>
      <c r="R275" s="28"/>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3"/>
      <c r="I276" s="22"/>
      <c r="J276" s="22"/>
      <c r="K276" s="22"/>
      <c r="L276" s="22"/>
      <c r="M276" s="24"/>
      <c r="N276" s="22"/>
      <c r="O276" s="22"/>
      <c r="P276" s="22"/>
      <c r="Q276" s="23"/>
      <c r="R276" s="23"/>
      <c r="S276" s="22"/>
      <c r="T276" s="24"/>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s="24"/>
      <c r="F277" s="23"/>
      <c r="G277" s="23"/>
      <c r="H277" s="23"/>
      <c r="I277" s="22"/>
      <c r="J277" s="22"/>
      <c r="K277" s="22"/>
      <c r="L277" s="22"/>
      <c r="M277" s="24"/>
      <c r="N277" s="22"/>
      <c r="O277" s="22"/>
      <c r="P277" s="22"/>
      <c r="Q277" s="23"/>
      <c r="R277" s="23"/>
      <c r="S277" s="22"/>
      <c r="T277" s="24"/>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s="24"/>
      <c r="F278" s="23"/>
      <c r="G278" s="23"/>
      <c r="H278" s="26"/>
      <c r="I278" s="22"/>
      <c r="J278" s="22"/>
      <c r="K278" s="22"/>
      <c r="L278" s="22"/>
      <c r="M278" s="24"/>
      <c r="N278" s="22"/>
      <c r="O278" s="22"/>
      <c r="P278" s="22"/>
      <c r="Q278" s="23"/>
      <c r="R278" s="23"/>
      <c r="S278" s="22"/>
      <c r="T278" s="24"/>
      <c r="U278"/>
      <c r="V278"/>
      <c r="W278"/>
      <c r="X278"/>
      <c r="Y278"/>
      <c r="Z278" s="12"/>
      <c r="AA278" s="12"/>
      <c r="AB278" s="12"/>
      <c r="AC278" s="12"/>
      <c r="AD278" s="12"/>
      <c r="AE278" s="12"/>
      <c r="AF278" s="12"/>
      <c r="AG278" s="12"/>
      <c r="AH278" s="12"/>
      <c r="AI278" s="12"/>
    </row>
    <row r="279" spans="1:35" s="10" customFormat="1" x14ac:dyDescent="0.25">
      <c r="A279" s="12"/>
      <c r="B279" s="12"/>
      <c r="C279" s="12"/>
      <c r="D279"/>
      <c r="E279" s="24"/>
      <c r="F279" s="23"/>
      <c r="G279" s="23"/>
      <c r="H279" s="26"/>
      <c r="I279" s="22"/>
      <c r="J279" s="22"/>
      <c r="K279" s="22"/>
      <c r="L279" s="22"/>
      <c r="M279" s="24"/>
      <c r="N279" s="22"/>
      <c r="O279" s="22"/>
      <c r="P279" s="22"/>
      <c r="Q279" s="23"/>
      <c r="R279" s="23"/>
      <c r="S279" s="22"/>
      <c r="T279" s="24"/>
      <c r="U279"/>
      <c r="V279"/>
      <c r="W279"/>
      <c r="X279"/>
      <c r="Y279"/>
      <c r="Z279" s="12"/>
      <c r="AA279" s="12"/>
      <c r="AB279" s="12"/>
      <c r="AC279" s="12"/>
      <c r="AD279" s="12"/>
      <c r="AE279" s="12"/>
      <c r="AF279" s="12"/>
      <c r="AG279" s="12"/>
      <c r="AH279" s="12"/>
      <c r="AI279" s="12"/>
    </row>
    <row r="280" spans="1:35" s="10" customFormat="1" x14ac:dyDescent="0.25">
      <c r="A280" s="12"/>
      <c r="B280" s="12"/>
      <c r="C280" s="12"/>
      <c r="D280"/>
      <c r="E280" s="24"/>
      <c r="F280" s="23"/>
      <c r="G280" s="23"/>
      <c r="H280" s="26"/>
      <c r="I280" s="22"/>
      <c r="J280" s="22"/>
      <c r="K280" s="22"/>
      <c r="L280" s="22"/>
      <c r="M280" s="24"/>
      <c r="N280" s="22"/>
      <c r="O280" s="22"/>
      <c r="P280" s="22"/>
      <c r="Q280" s="23"/>
      <c r="R280" s="23"/>
      <c r="S280" s="22"/>
      <c r="T280" s="24"/>
      <c r="U280"/>
      <c r="V280"/>
      <c r="W280"/>
      <c r="X280"/>
      <c r="Y280"/>
      <c r="Z280" s="12"/>
      <c r="AA280" s="12"/>
      <c r="AB280" s="12"/>
      <c r="AC280" s="12"/>
      <c r="AD280" s="12"/>
      <c r="AE280" s="12"/>
      <c r="AF280" s="12"/>
      <c r="AG280" s="12"/>
      <c r="AH280" s="12"/>
      <c r="AI280" s="12"/>
    </row>
    <row r="281" spans="1:35" s="10" customFormat="1" x14ac:dyDescent="0.25">
      <c r="A281" s="12"/>
      <c r="B281" s="12"/>
      <c r="C281" s="12"/>
      <c r="D281"/>
      <c r="E281" s="24"/>
      <c r="F281" s="23"/>
      <c r="G281" s="23"/>
      <c r="H281" s="26"/>
      <c r="I281" s="22"/>
      <c r="J281" s="22"/>
      <c r="K281" s="22"/>
      <c r="L281" s="22"/>
      <c r="M281" s="24"/>
      <c r="N281" s="22"/>
      <c r="O281" s="22"/>
      <c r="P281" s="22"/>
      <c r="Q281" s="23"/>
      <c r="R281" s="23"/>
      <c r="S281" s="22"/>
      <c r="T281" s="24"/>
      <c r="U281"/>
      <c r="V281"/>
      <c r="W281"/>
      <c r="X281"/>
      <c r="Y281"/>
      <c r="Z281" s="12"/>
      <c r="AA281" s="12"/>
      <c r="AB281" s="12"/>
      <c r="AC281" s="12"/>
      <c r="AD281" s="12"/>
      <c r="AE281" s="12"/>
      <c r="AF281" s="12"/>
      <c r="AG281" s="12"/>
      <c r="AH281" s="12"/>
      <c r="AI281" s="12"/>
    </row>
    <row r="282" spans="1:35" s="10" customFormat="1" x14ac:dyDescent="0.25">
      <c r="A282" s="12"/>
      <c r="B282" s="12"/>
      <c r="C282" s="12"/>
      <c r="D282"/>
      <c r="E282" s="24"/>
      <c r="F282" s="23"/>
      <c r="G282" s="23"/>
      <c r="H282" s="26"/>
      <c r="I282" s="22"/>
      <c r="J282" s="22"/>
      <c r="K282" s="22"/>
      <c r="L282" s="22"/>
      <c r="M282" s="24"/>
      <c r="N282" s="22"/>
      <c r="O282" s="22"/>
      <c r="P282" s="22"/>
      <c r="Q282" s="23"/>
      <c r="R282" s="23"/>
      <c r="S282" s="22"/>
      <c r="T282" s="24"/>
      <c r="U282"/>
      <c r="V282"/>
      <c r="W282"/>
      <c r="X282"/>
      <c r="Y282"/>
      <c r="Z282" s="12"/>
      <c r="AA282" s="12"/>
      <c r="AB282" s="12"/>
      <c r="AC282" s="12"/>
      <c r="AD282" s="12"/>
      <c r="AE282" s="12"/>
      <c r="AF282" s="12"/>
      <c r="AG282" s="12"/>
      <c r="AH282" s="12"/>
      <c r="AI282" s="12"/>
    </row>
    <row r="283" spans="1:35" s="10" customFormat="1" x14ac:dyDescent="0.25">
      <c r="A283" s="12"/>
      <c r="B283" s="12"/>
      <c r="C283" s="12"/>
      <c r="D283"/>
      <c r="E283" s="24"/>
      <c r="F283" s="23"/>
      <c r="G283" s="23"/>
      <c r="H283" s="26"/>
      <c r="I283" s="22"/>
      <c r="J283" s="22"/>
      <c r="K283" s="22"/>
      <c r="L283" s="22"/>
      <c r="M283" s="24"/>
      <c r="N283" s="22"/>
      <c r="O283" s="22"/>
      <c r="P283" s="22"/>
      <c r="Q283" s="23"/>
      <c r="R283" s="23"/>
      <c r="S283" s="22"/>
      <c r="T283" s="24"/>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s="24"/>
      <c r="F284" s="23"/>
      <c r="G284" s="23"/>
      <c r="H284" s="26"/>
      <c r="I284" s="22"/>
      <c r="J284" s="22"/>
      <c r="K284" s="22"/>
      <c r="L284" s="22"/>
      <c r="M284" s="24"/>
      <c r="N284" s="22"/>
      <c r="O284" s="22"/>
      <c r="P284" s="22"/>
      <c r="Q284" s="23"/>
      <c r="R284" s="23"/>
      <c r="S284" s="22"/>
      <c r="T284" s="2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s="24"/>
      <c r="F285" s="23"/>
      <c r="G285" s="23"/>
      <c r="H285" s="26"/>
      <c r="I285" s="22"/>
      <c r="J285" s="22"/>
      <c r="K285" s="22"/>
      <c r="L285" s="22"/>
      <c r="M285" s="21"/>
      <c r="N285" s="22"/>
      <c r="O285" s="22"/>
      <c r="P285" s="22"/>
      <c r="Q285" s="22"/>
      <c r="R285" s="28"/>
      <c r="S285" s="22"/>
      <c r="T285" s="20"/>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s="12"/>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s="12"/>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s="12"/>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s="12"/>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s="12"/>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c r="H410"/>
      <c r="I410"/>
      <c r="J410"/>
      <c r="K410"/>
      <c r="L410"/>
      <c r="M410"/>
      <c r="N410"/>
      <c r="O410"/>
      <c r="P410"/>
      <c r="Q410"/>
      <c r="R410"/>
      <c r="S410"/>
      <c r="T410"/>
      <c r="U410"/>
      <c r="V410"/>
      <c r="W410"/>
      <c r="X410"/>
      <c r="Y410"/>
      <c r="Z410" s="12"/>
      <c r="AA410" s="12"/>
      <c r="AB410" s="12"/>
      <c r="AC410" s="12"/>
      <c r="AD410" s="12"/>
      <c r="AE410" s="12"/>
      <c r="AF410" s="12"/>
      <c r="AG410" s="12"/>
      <c r="AH410" s="12"/>
      <c r="AI410" s="12"/>
    </row>
    <row r="411" spans="1:35" s="10" customFormat="1" x14ac:dyDescent="0.25">
      <c r="A411" s="12"/>
      <c r="B411" s="12"/>
      <c r="C411" s="12"/>
      <c r="D411"/>
      <c r="E411"/>
      <c r="F411"/>
      <c r="G411"/>
      <c r="H411"/>
      <c r="I411"/>
      <c r="J411"/>
      <c r="K411"/>
      <c r="L411"/>
      <c r="M411"/>
      <c r="N411"/>
      <c r="O411"/>
      <c r="P411"/>
      <c r="Q411"/>
      <c r="R411"/>
      <c r="S411"/>
      <c r="T411"/>
      <c r="U411"/>
      <c r="V411"/>
      <c r="W411"/>
      <c r="X411"/>
      <c r="Y411"/>
      <c r="Z411" s="12"/>
      <c r="AA411" s="12"/>
      <c r="AB411" s="12"/>
      <c r="AC411" s="12"/>
      <c r="AD411" s="12"/>
      <c r="AE411" s="12"/>
      <c r="AF411" s="12"/>
      <c r="AG411" s="12"/>
      <c r="AH411" s="12"/>
      <c r="AI411" s="12"/>
    </row>
    <row r="412" spans="1:35" s="10" customFormat="1" x14ac:dyDescent="0.25">
      <c r="A412" s="12"/>
      <c r="B412" s="12"/>
      <c r="C412" s="12"/>
      <c r="D412"/>
      <c r="E412"/>
      <c r="F412"/>
      <c r="G412"/>
      <c r="H412"/>
      <c r="I412"/>
      <c r="J412"/>
      <c r="K412"/>
      <c r="L412"/>
      <c r="M412"/>
      <c r="N412"/>
      <c r="O412"/>
      <c r="P412"/>
      <c r="Q412"/>
      <c r="R412"/>
      <c r="S412"/>
      <c r="T412"/>
      <c r="U412"/>
      <c r="V412"/>
      <c r="W412"/>
      <c r="X412"/>
      <c r="Y412"/>
      <c r="Z412" s="12"/>
      <c r="AA412" s="12"/>
      <c r="AB412" s="12"/>
      <c r="AC412" s="12"/>
      <c r="AD412" s="12"/>
      <c r="AE412" s="12"/>
      <c r="AF412" s="12"/>
      <c r="AG412" s="12"/>
      <c r="AH412" s="12"/>
      <c r="AI412" s="12"/>
    </row>
    <row r="413" spans="1:35" s="10" customFormat="1" x14ac:dyDescent="0.25">
      <c r="A413" s="12"/>
      <c r="B413" s="12"/>
      <c r="C413" s="12"/>
      <c r="D413"/>
      <c r="E413"/>
      <c r="F413"/>
      <c r="G413"/>
      <c r="H413"/>
      <c r="I413"/>
      <c r="J413"/>
      <c r="K413"/>
      <c r="L413"/>
      <c r="M413"/>
      <c r="N413"/>
      <c r="O413"/>
      <c r="P413"/>
      <c r="Q413"/>
      <c r="R413"/>
      <c r="S413"/>
      <c r="T413"/>
      <c r="U413"/>
      <c r="V413"/>
      <c r="W413"/>
      <c r="X413"/>
      <c r="Y413"/>
      <c r="Z413" s="12"/>
      <c r="AA413" s="12"/>
      <c r="AB413" s="12"/>
      <c r="AC413" s="12"/>
      <c r="AD413" s="12"/>
      <c r="AE413" s="12"/>
      <c r="AF413" s="12"/>
      <c r="AG413" s="12"/>
      <c r="AH413" s="12"/>
      <c r="AI413" s="12"/>
    </row>
    <row r="414" spans="1:35" s="10" customFormat="1" x14ac:dyDescent="0.25">
      <c r="A414" s="12"/>
      <c r="B414" s="12"/>
      <c r="C414" s="12"/>
      <c r="D414"/>
      <c r="E414"/>
      <c r="F414"/>
      <c r="G414"/>
      <c r="H414"/>
      <c r="I414"/>
      <c r="J414"/>
      <c r="K414"/>
      <c r="L414"/>
      <c r="M414"/>
      <c r="N414"/>
      <c r="O414"/>
      <c r="P414"/>
      <c r="Q414"/>
      <c r="R414"/>
      <c r="S414"/>
      <c r="T414"/>
      <c r="U414"/>
      <c r="V414"/>
      <c r="W414"/>
      <c r="X414"/>
      <c r="Y414"/>
      <c r="Z414" s="12"/>
      <c r="AA414" s="12"/>
      <c r="AB414" s="12"/>
      <c r="AC414" s="12"/>
      <c r="AD414" s="12"/>
      <c r="AE414" s="12"/>
      <c r="AF414" s="12"/>
      <c r="AG414" s="12"/>
      <c r="AH414" s="12"/>
      <c r="AI414" s="12"/>
    </row>
    <row r="415" spans="1:35" s="10" customFormat="1" x14ac:dyDescent="0.25">
      <c r="A415" s="12"/>
      <c r="B415" s="12"/>
      <c r="C415" s="12"/>
      <c r="D415"/>
      <c r="E415"/>
      <c r="F415"/>
      <c r="G415"/>
      <c r="H415"/>
      <c r="I415"/>
      <c r="J415"/>
      <c r="K415"/>
      <c r="L415"/>
      <c r="M415"/>
      <c r="N415"/>
      <c r="O415"/>
      <c r="P415"/>
      <c r="Q415"/>
      <c r="R415"/>
      <c r="S415"/>
      <c r="T415"/>
      <c r="U415"/>
      <c r="V415"/>
      <c r="W415"/>
      <c r="X415"/>
      <c r="Y415"/>
      <c r="Z415" s="12"/>
      <c r="AA415" s="12"/>
      <c r="AB415" s="12"/>
      <c r="AC415" s="12"/>
      <c r="AD415" s="12"/>
      <c r="AE415" s="12"/>
      <c r="AF415" s="12"/>
      <c r="AG415" s="12"/>
      <c r="AH415" s="12"/>
      <c r="AI415" s="12"/>
    </row>
    <row r="416" spans="1:35" s="10" customFormat="1" x14ac:dyDescent="0.25">
      <c r="A416" s="12"/>
      <c r="B416" s="12"/>
      <c r="C416" s="12"/>
      <c r="D416"/>
      <c r="E416"/>
      <c r="F416"/>
      <c r="G416"/>
      <c r="H416"/>
      <c r="I416"/>
      <c r="J416"/>
      <c r="K416"/>
      <c r="L416"/>
      <c r="M416"/>
      <c r="N416"/>
      <c r="O416"/>
      <c r="P416"/>
      <c r="Q416"/>
      <c r="R416"/>
      <c r="S416"/>
      <c r="T416"/>
      <c r="U416"/>
      <c r="V416"/>
      <c r="W416"/>
      <c r="X416"/>
      <c r="Y416"/>
      <c r="Z416" s="12"/>
      <c r="AA416" s="12"/>
      <c r="AB416" s="12"/>
      <c r="AC416" s="12"/>
      <c r="AD416" s="12"/>
      <c r="AE416" s="12"/>
      <c r="AF416" s="12"/>
      <c r="AG416" s="12"/>
      <c r="AH416" s="12"/>
      <c r="AI416" s="12"/>
    </row>
    <row r="417" spans="1:35" s="10" customFormat="1" x14ac:dyDescent="0.25">
      <c r="A417" s="12"/>
      <c r="B417" s="12"/>
      <c r="C417" s="12"/>
      <c r="D417"/>
      <c r="E417"/>
      <c r="F417"/>
      <c r="G417"/>
      <c r="H417"/>
      <c r="I417"/>
      <c r="J417"/>
      <c r="K417"/>
      <c r="L417"/>
      <c r="M417"/>
      <c r="N417"/>
      <c r="O417"/>
      <c r="P417"/>
      <c r="Q417"/>
      <c r="R417"/>
      <c r="S417"/>
      <c r="T417"/>
      <c r="U417"/>
      <c r="V417"/>
      <c r="W417"/>
      <c r="X417"/>
      <c r="Y417"/>
      <c r="Z417" s="12"/>
      <c r="AA417" s="12"/>
      <c r="AB417" s="12"/>
      <c r="AC417" s="12"/>
      <c r="AD417" s="12"/>
      <c r="AE417" s="12"/>
      <c r="AF417" s="12"/>
      <c r="AG417" s="12"/>
      <c r="AH417" s="12"/>
      <c r="AI417" s="12"/>
    </row>
    <row r="418" spans="1:35" s="10" customFormat="1" x14ac:dyDescent="0.25">
      <c r="A418" s="12"/>
      <c r="B418" s="12"/>
      <c r="C418" s="12"/>
      <c r="D418"/>
      <c r="E418"/>
      <c r="F418"/>
      <c r="G418"/>
      <c r="H418"/>
      <c r="I418"/>
      <c r="J418"/>
      <c r="K418"/>
      <c r="L418"/>
      <c r="M418"/>
      <c r="N418"/>
      <c r="O418"/>
      <c r="P418"/>
      <c r="Q418"/>
      <c r="R418"/>
      <c r="S418"/>
      <c r="T418"/>
      <c r="U418"/>
      <c r="V418"/>
      <c r="W418"/>
      <c r="X418"/>
      <c r="Y418"/>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c r="E469"/>
      <c r="F469"/>
      <c r="G469" s="3"/>
      <c r="H469" s="3"/>
      <c r="I469" s="3"/>
      <c r="J469" s="3"/>
      <c r="K469"/>
      <c r="L469"/>
      <c r="M469"/>
      <c r="N469" s="3"/>
      <c r="O469" s="3"/>
      <c r="P469" s="3"/>
      <c r="Q469" s="3"/>
      <c r="R469" s="3"/>
      <c r="S469"/>
      <c r="T469"/>
      <c r="U469"/>
      <c r="V469"/>
      <c r="W469" s="12"/>
      <c r="X469" s="12"/>
      <c r="Y469" s="12"/>
      <c r="Z469" s="12"/>
      <c r="AA469" s="12"/>
      <c r="AB469" s="12"/>
      <c r="AC469" s="12"/>
      <c r="AD469" s="12"/>
      <c r="AE469" s="12"/>
      <c r="AF469" s="12"/>
      <c r="AG469" s="12"/>
      <c r="AH469" s="12"/>
      <c r="AI469" s="12"/>
    </row>
    <row r="470" spans="1:35" s="10" customFormat="1" x14ac:dyDescent="0.25">
      <c r="A470" s="12"/>
      <c r="B470" s="12"/>
      <c r="C470" s="12"/>
      <c r="D470"/>
      <c r="E470"/>
      <c r="F470"/>
      <c r="G470" s="3"/>
      <c r="H470" s="3"/>
      <c r="I470" s="3"/>
      <c r="J470" s="3"/>
      <c r="K470"/>
      <c r="L470"/>
      <c r="M470"/>
      <c r="N470" s="3"/>
      <c r="O470" s="3"/>
      <c r="P470" s="3"/>
      <c r="Q470" s="3"/>
      <c r="R470" s="3"/>
      <c r="S470"/>
      <c r="T470"/>
      <c r="U470"/>
      <c r="V470"/>
      <c r="W470" s="12"/>
      <c r="X470" s="12"/>
      <c r="Y470" s="12"/>
      <c r="Z470" s="12"/>
      <c r="AA470" s="12"/>
      <c r="AB470" s="12"/>
      <c r="AC470" s="12"/>
      <c r="AD470" s="12"/>
      <c r="AE470" s="12"/>
      <c r="AF470" s="12"/>
      <c r="AG470" s="12"/>
      <c r="AH470" s="12"/>
      <c r="AI470" s="12"/>
    </row>
    <row r="471" spans="1:35" s="10" customFormat="1" x14ac:dyDescent="0.25">
      <c r="A471" s="12"/>
      <c r="B471" s="12"/>
      <c r="C471" s="12"/>
      <c r="D471"/>
      <c r="E471"/>
      <c r="F471"/>
      <c r="G471" s="3"/>
      <c r="H471" s="3"/>
      <c r="I471" s="3"/>
      <c r="J471" s="3"/>
      <c r="K471"/>
      <c r="L471"/>
      <c r="M471"/>
      <c r="N471" s="3"/>
      <c r="O471" s="3"/>
      <c r="P471" s="3"/>
      <c r="Q471" s="3"/>
      <c r="R471" s="3"/>
      <c r="S471"/>
      <c r="T471"/>
      <c r="U471"/>
      <c r="V471"/>
      <c r="W471" s="12"/>
      <c r="X471" s="12"/>
      <c r="Y471" s="12"/>
      <c r="Z471" s="12"/>
      <c r="AA471" s="12"/>
      <c r="AB471" s="12"/>
      <c r="AC471" s="12"/>
      <c r="AD471" s="12"/>
      <c r="AE471" s="12"/>
      <c r="AF471" s="12"/>
      <c r="AG471" s="12"/>
      <c r="AH471" s="12"/>
      <c r="AI471" s="12"/>
    </row>
    <row r="472" spans="1:35" s="10" customFormat="1" x14ac:dyDescent="0.25">
      <c r="A472" s="12"/>
      <c r="B472" s="12"/>
      <c r="C472" s="12"/>
      <c r="D472"/>
      <c r="E472"/>
      <c r="F472"/>
      <c r="G472" s="3"/>
      <c r="H472" s="3"/>
      <c r="I472" s="3"/>
      <c r="J472" s="3"/>
      <c r="K472"/>
      <c r="L472"/>
      <c r="M472"/>
      <c r="N472" s="3"/>
      <c r="O472" s="3"/>
      <c r="P472" s="3"/>
      <c r="Q472" s="3"/>
      <c r="R472" s="3"/>
      <c r="S472"/>
      <c r="T472"/>
      <c r="U472"/>
      <c r="V472"/>
      <c r="W472" s="12"/>
      <c r="X472" s="12"/>
      <c r="Y472" s="12"/>
      <c r="Z472" s="12"/>
      <c r="AA472" s="12"/>
      <c r="AB472" s="12"/>
      <c r="AC472" s="12"/>
      <c r="AD472" s="12"/>
      <c r="AE472" s="12"/>
      <c r="AF472" s="12"/>
      <c r="AG472" s="12"/>
      <c r="AH472" s="12"/>
      <c r="AI472" s="12"/>
    </row>
    <row r="473" spans="1:35" s="10" customFormat="1" x14ac:dyDescent="0.25">
      <c r="A473" s="12"/>
      <c r="B473" s="12"/>
      <c r="C473" s="12"/>
      <c r="D473"/>
      <c r="E473"/>
      <c r="F473"/>
      <c r="G473" s="3"/>
      <c r="H473" s="3"/>
      <c r="I473" s="3"/>
      <c r="J473" s="3"/>
      <c r="K473"/>
      <c r="L473"/>
      <c r="M473"/>
      <c r="N473" s="3"/>
      <c r="O473" s="3"/>
      <c r="P473" s="3"/>
      <c r="Q473" s="3"/>
      <c r="R473" s="3"/>
      <c r="S473"/>
      <c r="T473"/>
      <c r="U473"/>
      <c r="V473"/>
      <c r="W473" s="12"/>
      <c r="X473" s="12"/>
      <c r="Y473" s="12"/>
      <c r="Z473" s="12"/>
      <c r="AA473" s="12"/>
      <c r="AB473" s="12"/>
      <c r="AC473" s="12"/>
      <c r="AD473" s="12"/>
      <c r="AE473" s="12"/>
      <c r="AF473" s="12"/>
      <c r="AG473" s="12"/>
      <c r="AH473" s="12"/>
      <c r="AI473" s="12"/>
    </row>
    <row r="474" spans="1:35" s="10" customFormat="1" x14ac:dyDescent="0.25">
      <c r="A474" s="12"/>
      <c r="B474" s="12"/>
      <c r="C474" s="12"/>
      <c r="D474"/>
      <c r="E474"/>
      <c r="F474"/>
      <c r="G474" s="3"/>
      <c r="H474" s="3"/>
      <c r="I474" s="3"/>
      <c r="J474" s="3"/>
      <c r="K474"/>
      <c r="L474"/>
      <c r="M474"/>
      <c r="N474" s="3"/>
      <c r="O474" s="3"/>
      <c r="P474" s="3"/>
      <c r="Q474" s="3"/>
      <c r="R474" s="3"/>
      <c r="S474"/>
      <c r="T474"/>
      <c r="U474"/>
      <c r="V474"/>
      <c r="W474" s="12"/>
      <c r="X474" s="12"/>
      <c r="Y474" s="12"/>
      <c r="Z474" s="12"/>
      <c r="AA474" s="12"/>
      <c r="AB474" s="12"/>
      <c r="AC474" s="12"/>
      <c r="AD474" s="12"/>
      <c r="AE474" s="12"/>
      <c r="AF474" s="12"/>
      <c r="AG474" s="12"/>
      <c r="AH474" s="12"/>
      <c r="AI474" s="12"/>
    </row>
    <row r="475" spans="1:35" s="10" customFormat="1" x14ac:dyDescent="0.25">
      <c r="A475" s="12"/>
      <c r="B475" s="12"/>
      <c r="C475" s="12"/>
      <c r="D475"/>
      <c r="E475"/>
      <c r="F475"/>
      <c r="G475" s="3"/>
      <c r="H475" s="3"/>
      <c r="I475" s="3"/>
      <c r="J475" s="3"/>
      <c r="K475"/>
      <c r="L475"/>
      <c r="M475"/>
      <c r="N475" s="3"/>
      <c r="O475" s="3"/>
      <c r="P475" s="3"/>
      <c r="Q475" s="3"/>
      <c r="R475" s="3"/>
      <c r="S475"/>
      <c r="T475"/>
      <c r="U475"/>
      <c r="V475"/>
      <c r="W475" s="12"/>
      <c r="X475" s="12"/>
      <c r="Y475" s="12"/>
      <c r="Z475" s="12"/>
      <c r="AA475" s="12"/>
      <c r="AB475" s="12"/>
      <c r="AC475" s="12"/>
      <c r="AD475" s="12"/>
      <c r="AE475" s="12"/>
      <c r="AF475" s="12"/>
      <c r="AG475" s="12"/>
      <c r="AH475" s="12"/>
      <c r="AI475" s="12"/>
    </row>
    <row r="476" spans="1:35" s="10" customFormat="1" x14ac:dyDescent="0.25">
      <c r="A476" s="12"/>
      <c r="B476" s="12"/>
      <c r="C476" s="12"/>
      <c r="D476"/>
      <c r="E476"/>
      <c r="F476"/>
      <c r="G476" s="3"/>
      <c r="H476" s="3"/>
      <c r="I476" s="3"/>
      <c r="J476" s="3"/>
      <c r="K476"/>
      <c r="L476"/>
      <c r="M476"/>
      <c r="N476" s="3"/>
      <c r="O476" s="3"/>
      <c r="P476" s="3"/>
      <c r="Q476" s="3"/>
      <c r="R476" s="3"/>
      <c r="S476"/>
      <c r="T476"/>
      <c r="U476"/>
      <c r="V476"/>
      <c r="W476" s="12"/>
      <c r="X476" s="12"/>
      <c r="Y476" s="12"/>
      <c r="Z476" s="12"/>
      <c r="AA476" s="12"/>
      <c r="AB476" s="12"/>
      <c r="AC476" s="12"/>
      <c r="AD476" s="12"/>
      <c r="AE476" s="12"/>
      <c r="AF476" s="12"/>
      <c r="AG476" s="12"/>
      <c r="AH476" s="12"/>
      <c r="AI476" s="12"/>
    </row>
    <row r="477" spans="1:35" s="10" customFormat="1" x14ac:dyDescent="0.25">
      <c r="A477" s="12"/>
      <c r="B477" s="12"/>
      <c r="C477" s="12"/>
      <c r="D477"/>
      <c r="E477"/>
      <c r="F477"/>
      <c r="G477" s="3"/>
      <c r="H477" s="3"/>
      <c r="I477" s="3"/>
      <c r="J477" s="3"/>
      <c r="K477"/>
      <c r="L477"/>
      <c r="M477"/>
      <c r="N477" s="3"/>
      <c r="O477" s="3"/>
      <c r="P477" s="3"/>
      <c r="Q477" s="3"/>
      <c r="R477" s="3"/>
      <c r="S477"/>
      <c r="T477"/>
      <c r="U477"/>
      <c r="V477"/>
      <c r="W477" s="12"/>
      <c r="X477" s="12"/>
      <c r="Y477" s="12"/>
      <c r="Z477" s="12"/>
      <c r="AA477" s="12"/>
      <c r="AB477" s="12"/>
      <c r="AC477" s="12"/>
      <c r="AD477" s="12"/>
      <c r="AE477" s="12"/>
      <c r="AF477" s="12"/>
      <c r="AG477" s="12"/>
      <c r="AH477" s="12"/>
      <c r="AI477" s="12"/>
    </row>
    <row r="478" spans="1:35" s="10" customFormat="1" x14ac:dyDescent="0.25">
      <c r="A478" s="12"/>
      <c r="B478" s="12"/>
      <c r="C478" s="12"/>
      <c r="D478" s="15"/>
      <c r="E478"/>
      <c r="F478"/>
      <c r="G478" s="3"/>
      <c r="H478" s="3"/>
      <c r="I478" s="3"/>
      <c r="J478" s="3"/>
      <c r="K478"/>
      <c r="L478"/>
      <c r="M478"/>
      <c r="N478" s="3"/>
      <c r="O478" s="3"/>
      <c r="P478" s="3"/>
      <c r="Q478" s="3"/>
      <c r="R478" s="3"/>
      <c r="S478"/>
      <c r="T478"/>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5"/>
      <c r="E479"/>
      <c r="F479"/>
      <c r="G479" s="3"/>
      <c r="H479" s="3"/>
      <c r="I479" s="3"/>
      <c r="J479" s="3"/>
      <c r="K479"/>
      <c r="L479"/>
      <c r="M479"/>
      <c r="N479" s="3"/>
      <c r="O479" s="3"/>
      <c r="P479" s="3"/>
      <c r="Q479" s="3"/>
      <c r="R479" s="3"/>
      <c r="S479"/>
      <c r="T479"/>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5"/>
      <c r="E480"/>
      <c r="F480"/>
      <c r="G480" s="3"/>
      <c r="H480" s="3"/>
      <c r="I480" s="3"/>
      <c r="J480" s="3"/>
      <c r="K480"/>
      <c r="L480"/>
      <c r="M480"/>
      <c r="N480" s="3"/>
      <c r="O480" s="3"/>
      <c r="P480" s="3"/>
      <c r="Q480" s="3"/>
      <c r="R480" s="3"/>
      <c r="S480"/>
      <c r="T480"/>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c r="F481"/>
      <c r="G481" s="3"/>
      <c r="H481" s="3"/>
      <c r="I481" s="3"/>
      <c r="J481" s="3"/>
      <c r="K481"/>
      <c r="L481"/>
      <c r="M481"/>
      <c r="N481" s="3"/>
      <c r="O481" s="3"/>
      <c r="P481" s="3"/>
      <c r="Q481" s="3"/>
      <c r="R481" s="3"/>
      <c r="S481"/>
      <c r="T481"/>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c r="F482"/>
      <c r="G482" s="3"/>
      <c r="H482" s="3"/>
      <c r="I482" s="3"/>
      <c r="J482" s="3"/>
      <c r="K482"/>
      <c r="L482"/>
      <c r="M482"/>
      <c r="N482" s="3"/>
      <c r="O482" s="3"/>
      <c r="P482" s="3"/>
      <c r="Q482" s="3"/>
      <c r="R482" s="3"/>
      <c r="S482"/>
      <c r="T48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2" spans="1:35" s="10" customFormat="1" x14ac:dyDescent="0.25">
      <c r="A512" s="12"/>
      <c r="B512" s="12"/>
      <c r="C512" s="12"/>
      <c r="D512" s="12"/>
      <c r="E512" s="12"/>
      <c r="G512" s="14"/>
      <c r="H512" s="17"/>
      <c r="I512" s="14"/>
      <c r="M512" s="12"/>
      <c r="T512" s="12"/>
      <c r="U512" s="12"/>
      <c r="V512" s="12"/>
      <c r="W512" s="12"/>
      <c r="X512" s="12"/>
      <c r="Y512" s="12"/>
      <c r="Z512" s="12"/>
      <c r="AA512" s="12"/>
      <c r="AB512" s="12"/>
      <c r="AC512" s="12"/>
      <c r="AD512" s="12"/>
      <c r="AE512" s="12"/>
      <c r="AF512" s="12"/>
      <c r="AG512" s="12"/>
      <c r="AH512" s="12"/>
      <c r="AI512" s="12"/>
    </row>
    <row r="513" spans="1:35" s="10" customFormat="1" x14ac:dyDescent="0.25">
      <c r="A513" s="12"/>
      <c r="B513" s="12"/>
      <c r="C513" s="12"/>
      <c r="D513" s="12"/>
      <c r="E513" s="12"/>
      <c r="G513" s="14"/>
      <c r="H513" s="17"/>
      <c r="I513" s="14"/>
      <c r="M513" s="12"/>
      <c r="T513" s="12"/>
      <c r="U513" s="12"/>
      <c r="V513" s="12"/>
      <c r="W513" s="12"/>
      <c r="X513" s="12"/>
      <c r="Y513" s="12"/>
      <c r="Z513" s="12"/>
      <c r="AA513" s="12"/>
      <c r="AB513" s="12"/>
      <c r="AC513" s="12"/>
      <c r="AD513" s="12"/>
      <c r="AE513" s="12"/>
      <c r="AF513" s="12"/>
      <c r="AG513" s="12"/>
      <c r="AH513" s="12"/>
      <c r="AI513" s="12"/>
    </row>
    <row r="514" spans="1:35" s="10" customFormat="1" x14ac:dyDescent="0.25">
      <c r="A514" s="12"/>
      <c r="B514" s="12"/>
      <c r="C514" s="12"/>
      <c r="D514" s="12"/>
      <c r="E514" s="12"/>
      <c r="G514" s="14"/>
      <c r="H514" s="17"/>
      <c r="I514" s="14"/>
      <c r="M514" s="12"/>
      <c r="T514" s="12"/>
      <c r="U514" s="12"/>
      <c r="V514" s="12"/>
      <c r="W514" s="12"/>
      <c r="X514" s="12"/>
      <c r="Y514" s="12"/>
      <c r="Z514" s="12"/>
      <c r="AA514" s="12"/>
      <c r="AB514" s="12"/>
      <c r="AC514" s="12"/>
      <c r="AD514" s="12"/>
      <c r="AE514" s="12"/>
      <c r="AF514" s="12"/>
      <c r="AG514" s="12"/>
      <c r="AH514" s="12"/>
      <c r="AI514" s="12"/>
    </row>
    <row r="515" spans="1:35" s="10" customFormat="1" x14ac:dyDescent="0.25">
      <c r="A515" s="12"/>
      <c r="B515" s="12"/>
      <c r="C515" s="12"/>
      <c r="D515" s="12"/>
      <c r="E515" s="12"/>
      <c r="G515" s="14"/>
      <c r="H515" s="17"/>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G516" s="14"/>
      <c r="H516" s="17"/>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G517" s="14"/>
      <c r="H517" s="17"/>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G518" s="14"/>
      <c r="H518" s="17"/>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G519" s="14"/>
      <c r="H519" s="17"/>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G520" s="14"/>
      <c r="H520" s="17"/>
      <c r="I520" s="14"/>
      <c r="M520" s="12"/>
      <c r="T520" s="12"/>
      <c r="U520" s="12"/>
      <c r="V520" s="12"/>
      <c r="W520" s="12"/>
      <c r="X520" s="12"/>
      <c r="Y520" s="12"/>
      <c r="Z520" s="12"/>
      <c r="AA520" s="12"/>
      <c r="AB520" s="12"/>
      <c r="AC520" s="12"/>
      <c r="AD520" s="12"/>
      <c r="AE520" s="12"/>
      <c r="AF520" s="12"/>
      <c r="AG520" s="12"/>
      <c r="AH520" s="12"/>
      <c r="AI520"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0" spans="1:35" s="10" customFormat="1" x14ac:dyDescent="0.25">
      <c r="A870" s="12"/>
      <c r="B870" s="12"/>
      <c r="C870" s="12"/>
      <c r="D870" s="12"/>
      <c r="E870" s="12"/>
      <c r="I870" s="14"/>
      <c r="M870" s="12"/>
      <c r="T870" s="12"/>
      <c r="U870" s="12"/>
      <c r="V870" s="12"/>
      <c r="W870" s="12"/>
      <c r="X870" s="12"/>
      <c r="Y870" s="12"/>
      <c r="Z870" s="12"/>
      <c r="AA870" s="12"/>
      <c r="AB870" s="12"/>
      <c r="AC870" s="12"/>
      <c r="AD870" s="12"/>
      <c r="AE870" s="12"/>
      <c r="AF870" s="12"/>
      <c r="AG870" s="12"/>
      <c r="AH870" s="12"/>
      <c r="AI870" s="12"/>
    </row>
    <row r="871" spans="1:35" s="10" customFormat="1" x14ac:dyDescent="0.25">
      <c r="A871" s="12"/>
      <c r="B871" s="12"/>
      <c r="C871" s="12"/>
      <c r="D871" s="12"/>
      <c r="E871" s="12"/>
      <c r="I871" s="14"/>
      <c r="M871" s="12"/>
      <c r="T871" s="12"/>
      <c r="U871" s="12"/>
      <c r="V871" s="12"/>
      <c r="W871" s="12"/>
      <c r="X871" s="12"/>
      <c r="Y871" s="12"/>
      <c r="Z871" s="12"/>
      <c r="AA871" s="12"/>
      <c r="AB871" s="12"/>
      <c r="AC871" s="12"/>
      <c r="AD871" s="12"/>
      <c r="AE871" s="12"/>
      <c r="AF871" s="12"/>
      <c r="AG871" s="12"/>
      <c r="AH871" s="12"/>
      <c r="AI871" s="12"/>
    </row>
    <row r="872" spans="1:35" s="10" customFormat="1" x14ac:dyDescent="0.25">
      <c r="A872" s="12"/>
      <c r="B872" s="12"/>
      <c r="C872" s="12"/>
      <c r="D872" s="12"/>
      <c r="E872" s="12"/>
      <c r="I872" s="14"/>
      <c r="M872" s="12"/>
      <c r="T872" s="12"/>
      <c r="U872" s="12"/>
      <c r="V872" s="12"/>
      <c r="W872" s="12"/>
      <c r="X872" s="12"/>
      <c r="Y872" s="12"/>
      <c r="Z872" s="12"/>
      <c r="AA872" s="12"/>
      <c r="AB872" s="12"/>
      <c r="AC872" s="12"/>
      <c r="AD872" s="12"/>
      <c r="AE872" s="12"/>
      <c r="AF872" s="12"/>
      <c r="AG872" s="12"/>
      <c r="AH872" s="12"/>
      <c r="AI872"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row r="1343" spans="1:35" s="10" customFormat="1" x14ac:dyDescent="0.25">
      <c r="A1343" s="12"/>
      <c r="B1343" s="12"/>
      <c r="C1343" s="12"/>
      <c r="D1343" s="12"/>
      <c r="E1343" s="12"/>
      <c r="I1343" s="14"/>
      <c r="M1343" s="12"/>
      <c r="T1343" s="12"/>
      <c r="U1343" s="12"/>
      <c r="V1343" s="12"/>
      <c r="W1343" s="12"/>
      <c r="X1343" s="12"/>
      <c r="Y1343" s="12"/>
      <c r="Z1343" s="12"/>
      <c r="AA1343" s="12"/>
      <c r="AB1343" s="12"/>
      <c r="AC1343" s="12"/>
      <c r="AD1343" s="12"/>
      <c r="AE1343" s="12"/>
      <c r="AF1343" s="12"/>
      <c r="AG1343" s="12"/>
      <c r="AH1343" s="12"/>
      <c r="AI1343" s="12"/>
    </row>
    <row r="1344" spans="1:35" s="10" customFormat="1" x14ac:dyDescent="0.25">
      <c r="A1344" s="12"/>
      <c r="B1344" s="12"/>
      <c r="C1344" s="12"/>
      <c r="D1344" s="12"/>
      <c r="E1344" s="12"/>
      <c r="I1344" s="14"/>
      <c r="M1344" s="12"/>
      <c r="T1344" s="12"/>
      <c r="U1344" s="12"/>
      <c r="V1344" s="12"/>
      <c r="W1344" s="12"/>
      <c r="X1344" s="12"/>
      <c r="Y1344" s="12"/>
      <c r="Z1344" s="12"/>
      <c r="AA1344" s="12"/>
      <c r="AB1344" s="12"/>
      <c r="AC1344" s="12"/>
      <c r="AD1344" s="12"/>
      <c r="AE1344" s="12"/>
      <c r="AF1344" s="12"/>
      <c r="AG1344" s="12"/>
      <c r="AH1344" s="12"/>
      <c r="AI1344" s="12"/>
    </row>
    <row r="1345" spans="1:35" s="10" customFormat="1" x14ac:dyDescent="0.25">
      <c r="A1345" s="12"/>
      <c r="B1345" s="12"/>
      <c r="C1345" s="12"/>
      <c r="D1345" s="12"/>
      <c r="E1345" s="12"/>
      <c r="I1345" s="14"/>
      <c r="M1345" s="12"/>
      <c r="T1345" s="12"/>
      <c r="U1345" s="12"/>
      <c r="V1345" s="12"/>
      <c r="W1345" s="12"/>
      <c r="X1345" s="12"/>
      <c r="Y1345" s="12"/>
      <c r="Z1345" s="12"/>
      <c r="AA1345" s="12"/>
      <c r="AB1345" s="12"/>
      <c r="AC1345" s="12"/>
      <c r="AD1345" s="12"/>
      <c r="AE1345" s="12"/>
      <c r="AF1345" s="12"/>
      <c r="AG1345" s="12"/>
      <c r="AH1345" s="12"/>
      <c r="AI1345" s="12"/>
    </row>
    <row r="1346" spans="1:35" s="10" customFormat="1" x14ac:dyDescent="0.25">
      <c r="A1346" s="12"/>
      <c r="B1346" s="12"/>
      <c r="C1346" s="12"/>
      <c r="D1346" s="12"/>
      <c r="E1346" s="12"/>
      <c r="I1346" s="14"/>
      <c r="M1346" s="12"/>
      <c r="T1346" s="12"/>
      <c r="U1346" s="12"/>
      <c r="V1346" s="12"/>
      <c r="W1346" s="12"/>
      <c r="X1346" s="12"/>
      <c r="Y1346" s="12"/>
      <c r="Z1346" s="12"/>
      <c r="AA1346" s="12"/>
      <c r="AB1346" s="12"/>
      <c r="AC1346" s="12"/>
      <c r="AD1346" s="12"/>
      <c r="AE1346" s="12"/>
      <c r="AF1346" s="12"/>
      <c r="AG1346" s="12"/>
      <c r="AH1346" s="12"/>
      <c r="AI1346" s="12"/>
    </row>
    <row r="1347" spans="1:35" s="10" customFormat="1" x14ac:dyDescent="0.25">
      <c r="A1347" s="12"/>
      <c r="B1347" s="12"/>
      <c r="C1347" s="12"/>
      <c r="D1347" s="12"/>
      <c r="E1347" s="12"/>
      <c r="I1347" s="14"/>
      <c r="M1347" s="12"/>
      <c r="T1347" s="12"/>
      <c r="U1347" s="12"/>
      <c r="V1347" s="12"/>
      <c r="W1347" s="12"/>
      <c r="X1347" s="12"/>
      <c r="Y1347" s="12"/>
      <c r="Z1347" s="12"/>
      <c r="AA1347" s="12"/>
      <c r="AB1347" s="12"/>
      <c r="AC1347" s="12"/>
      <c r="AD1347" s="12"/>
      <c r="AE1347" s="12"/>
      <c r="AF1347" s="12"/>
      <c r="AG1347" s="12"/>
      <c r="AH1347" s="12"/>
      <c r="AI1347" s="12"/>
    </row>
    <row r="1348" spans="1:35" s="10" customFormat="1" x14ac:dyDescent="0.25">
      <c r="A1348" s="12"/>
      <c r="B1348" s="12"/>
      <c r="C1348" s="12"/>
      <c r="D1348" s="12"/>
      <c r="E1348" s="12"/>
      <c r="I1348" s="14"/>
      <c r="M1348" s="12"/>
      <c r="T1348" s="12"/>
      <c r="U1348" s="12"/>
      <c r="V1348" s="12"/>
      <c r="W1348" s="12"/>
      <c r="X1348" s="12"/>
      <c r="Y1348" s="12"/>
      <c r="Z1348" s="12"/>
      <c r="AA1348" s="12"/>
      <c r="AB1348" s="12"/>
      <c r="AC1348" s="12"/>
      <c r="AD1348" s="12"/>
      <c r="AE1348" s="12"/>
      <c r="AF1348" s="12"/>
      <c r="AG1348" s="12"/>
      <c r="AH1348" s="12"/>
      <c r="AI1348" s="12"/>
    </row>
    <row r="1349" spans="1:35" s="10" customFormat="1" x14ac:dyDescent="0.25">
      <c r="A1349" s="12"/>
      <c r="B1349" s="12"/>
      <c r="C1349" s="12"/>
      <c r="D1349" s="12"/>
      <c r="E1349" s="12"/>
      <c r="I1349" s="14"/>
      <c r="M1349" s="12"/>
      <c r="T1349" s="12"/>
      <c r="U1349" s="12"/>
      <c r="V1349" s="12"/>
      <c r="W1349" s="12"/>
      <c r="X1349" s="12"/>
      <c r="Y1349" s="12"/>
      <c r="Z1349" s="12"/>
      <c r="AA1349" s="12"/>
      <c r="AB1349" s="12"/>
      <c r="AC1349" s="12"/>
      <c r="AD1349" s="12"/>
      <c r="AE1349" s="12"/>
      <c r="AF1349" s="12"/>
      <c r="AG1349" s="12"/>
      <c r="AH1349" s="12"/>
      <c r="AI1349" s="12"/>
    </row>
    <row r="1350" spans="1:35" s="10" customFormat="1" x14ac:dyDescent="0.25">
      <c r="A1350" s="12"/>
      <c r="B1350" s="12"/>
      <c r="C1350" s="12"/>
      <c r="D1350" s="12"/>
      <c r="E1350" s="12"/>
      <c r="I1350" s="14"/>
      <c r="M1350" s="12"/>
      <c r="T1350" s="12"/>
      <c r="U1350" s="12"/>
      <c r="V1350" s="12"/>
      <c r="W1350" s="12"/>
      <c r="X1350" s="12"/>
      <c r="Y1350" s="12"/>
      <c r="Z1350" s="12"/>
      <c r="AA1350" s="12"/>
      <c r="AB1350" s="12"/>
      <c r="AC1350" s="12"/>
      <c r="AD1350" s="12"/>
      <c r="AE1350" s="12"/>
      <c r="AF1350" s="12"/>
      <c r="AG1350" s="12"/>
      <c r="AH1350" s="12"/>
      <c r="AI1350" s="12"/>
    </row>
    <row r="1351" spans="1:35" s="10" customFormat="1" x14ac:dyDescent="0.25">
      <c r="A1351" s="12"/>
      <c r="B1351" s="12"/>
      <c r="C1351" s="12"/>
      <c r="D1351" s="12"/>
      <c r="E1351" s="12"/>
      <c r="I1351" s="14"/>
      <c r="M1351" s="12"/>
      <c r="T1351" s="12"/>
      <c r="U1351" s="12"/>
      <c r="V1351" s="12"/>
      <c r="W1351" s="12"/>
      <c r="X1351" s="12"/>
      <c r="Y1351" s="12"/>
      <c r="Z1351" s="12"/>
      <c r="AA1351" s="12"/>
      <c r="AB1351" s="12"/>
      <c r="AC1351" s="12"/>
      <c r="AD1351" s="12"/>
      <c r="AE1351" s="12"/>
      <c r="AF1351" s="12"/>
      <c r="AG1351" s="12"/>
      <c r="AH1351" s="12"/>
      <c r="AI1351" s="12"/>
    </row>
  </sheetData>
  <mergeCells count="20">
    <mergeCell ref="T16:T17"/>
    <mergeCell ref="L16:L17"/>
    <mergeCell ref="H16:H17"/>
    <mergeCell ref="P16:P17"/>
    <mergeCell ref="S16:S17"/>
    <mergeCell ref="M16:M17"/>
    <mergeCell ref="N16:N17"/>
    <mergeCell ref="O16:O17"/>
    <mergeCell ref="I16:I17"/>
    <mergeCell ref="J16:J17"/>
    <mergeCell ref="K16:K17"/>
    <mergeCell ref="Q16:Q17"/>
    <mergeCell ref="R16:R17"/>
    <mergeCell ref="F16:F17"/>
    <mergeCell ref="G16:G17"/>
    <mergeCell ref="C16:C17"/>
    <mergeCell ref="B16:B17"/>
    <mergeCell ref="A16:A17"/>
    <mergeCell ref="D16:D17"/>
    <mergeCell ref="E16:E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5" r:id="rId4" name="CommandButton7">
          <controlPr autoLine="0" autoPict="0" r:id="rId5">
            <anchor moveWithCells="1">
              <from>
                <xdr:col>7</xdr:col>
                <xdr:colOff>342900</xdr:colOff>
                <xdr:row>4</xdr:row>
                <xdr:rowOff>19050</xdr:rowOff>
              </from>
              <to>
                <xdr:col>9</xdr:col>
                <xdr:colOff>1295400</xdr:colOff>
                <xdr:row>5</xdr:row>
                <xdr:rowOff>19050</xdr:rowOff>
              </to>
            </anchor>
          </controlPr>
        </control>
      </mc:Choice>
      <mc:Fallback>
        <control shapeId="22535" r:id="rId4" name="CommandButton7"/>
      </mc:Fallback>
    </mc:AlternateContent>
    <mc:AlternateContent xmlns:mc="http://schemas.openxmlformats.org/markup-compatibility/2006">
      <mc:Choice Requires="x14">
        <control shapeId="22536" r:id="rId6" name="CommandButton8">
          <controlPr defaultSize="0" autoLine="0" r:id="rId7">
            <anchor moveWithCells="1">
              <from>
                <xdr:col>7</xdr:col>
                <xdr:colOff>342900</xdr:colOff>
                <xdr:row>2</xdr:row>
                <xdr:rowOff>0</xdr:rowOff>
              </from>
              <to>
                <xdr:col>9</xdr:col>
                <xdr:colOff>1304925</xdr:colOff>
                <xdr:row>3</xdr:row>
                <xdr:rowOff>28575</xdr:rowOff>
              </to>
            </anchor>
          </controlPr>
        </control>
      </mc:Choice>
      <mc:Fallback>
        <control shapeId="22536" r:id="rId6" name="CommandButton8"/>
      </mc:Fallback>
    </mc:AlternateContent>
    <mc:AlternateContent xmlns:mc="http://schemas.openxmlformats.org/markup-compatibility/2006">
      <mc:Choice Requires="x14">
        <control shapeId="22537" r:id="rId8" name="CommandButton2">
          <controlPr autoLine="0" r:id="rId9">
            <anchor moveWithCells="1">
              <from>
                <xdr:col>7</xdr:col>
                <xdr:colOff>333375</xdr:colOff>
                <xdr:row>7</xdr:row>
                <xdr:rowOff>9525</xdr:rowOff>
              </from>
              <to>
                <xdr:col>9</xdr:col>
                <xdr:colOff>1304925</xdr:colOff>
                <xdr:row>8</xdr:row>
                <xdr:rowOff>0</xdr:rowOff>
              </to>
            </anchor>
          </controlPr>
        </control>
      </mc:Choice>
      <mc:Fallback>
        <control shapeId="22537" r:id="rId8" name="CommandButton2"/>
      </mc:Fallback>
    </mc:AlternateContent>
    <mc:AlternateContent xmlns:mc="http://schemas.openxmlformats.org/markup-compatibility/2006">
      <mc:Choice Requires="x14">
        <control shapeId="22538" r:id="rId10" name="CommandButton3">
          <controlPr autoLine="0" r:id="rId11">
            <anchor moveWithCells="1">
              <from>
                <xdr:col>7</xdr:col>
                <xdr:colOff>333375</xdr:colOff>
                <xdr:row>9</xdr:row>
                <xdr:rowOff>9525</xdr:rowOff>
              </from>
              <to>
                <xdr:col>9</xdr:col>
                <xdr:colOff>1304925</xdr:colOff>
                <xdr:row>10</xdr:row>
                <xdr:rowOff>0</xdr:rowOff>
              </to>
            </anchor>
          </controlPr>
        </control>
      </mc:Choice>
      <mc:Fallback>
        <control shapeId="22538" r:id="rId10" name="CommandButton3"/>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E20" sqref="E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238</v>
      </c>
      <c r="D16" s="3">
        <v>5</v>
      </c>
      <c r="E16" t="s">
        <v>239</v>
      </c>
      <c r="F16" t="s">
        <v>240</v>
      </c>
    </row>
    <row r="17" spans="3:5" x14ac:dyDescent="0.25">
      <c r="C17" t="s">
        <v>233</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Bartovský Jan</cp:lastModifiedBy>
  <dcterms:created xsi:type="dcterms:W3CDTF">2006-09-16T00:00:00Z</dcterms:created>
  <dcterms:modified xsi:type="dcterms:W3CDTF">2024-11-08T14:01:45Z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