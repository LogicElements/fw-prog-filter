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evzen\OneDrive\Plocha\PF_firmware\PFMain\Documents\"/>
    </mc:Choice>
  </mc:AlternateContent>
  <xr:revisionPtr revIDLastSave="0" documentId="13_ncr:1_{45A4BD5D-FA9A-4ABE-BB93-FBC1C63CABE6}" xr6:coauthVersionLast="47" xr6:coauthVersionMax="47" xr10:uidLastSave="{00000000-0000-0000-0000-000000000000}"/>
  <bookViews>
    <workbookView xWindow="28680" yWindow="-5700" windowWidth="29040" windowHeight="15720" xr2:uid="{00000000-000D-0000-FFFF-FFFF00000000}"/>
  </bookViews>
  <sheets>
    <sheet name="Registers" sheetId="25" r:id="rId1"/>
    <sheet name="Common" sheetId="16" r:id="rId2"/>
  </sheets>
  <functionGroups builtInGroupCount="19"/>
  <externalReferences>
    <externalReference r:id="rId3"/>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3" i="25" l="1"/>
  <c r="I64" i="25" s="1"/>
  <c r="L72" i="25"/>
  <c r="L65" i="25"/>
  <c r="L64" i="25"/>
  <c r="L63" i="25"/>
  <c r="K63" i="25"/>
  <c r="K72" i="25" l="1"/>
  <c r="I65" i="25"/>
  <c r="I66" i="25" s="1"/>
  <c r="K64" i="25"/>
  <c r="I67" i="25" l="1"/>
  <c r="K66" i="25"/>
  <c r="K65" i="25"/>
  <c r="I68" i="25" l="1"/>
  <c r="K67"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L29" i="25"/>
  <c r="F12" i="25"/>
  <c r="F7" i="25"/>
  <c r="I69" i="25" l="1"/>
  <c r="K68" i="25"/>
  <c r="K60" i="25"/>
  <c r="I59" i="25"/>
  <c r="I60" i="25" s="1"/>
  <c r="K44" i="25"/>
  <c r="K56" i="25"/>
  <c r="K53" i="25"/>
  <c r="K49" i="25"/>
  <c r="K57" i="25"/>
  <c r="K48" i="25"/>
  <c r="K58" i="25"/>
  <c r="K50" i="25"/>
  <c r="K55" i="25"/>
  <c r="K47" i="25"/>
  <c r="K54" i="25"/>
  <c r="K46" i="25"/>
  <c r="K45" i="25"/>
  <c r="K52" i="25"/>
  <c r="K59" i="25"/>
  <c r="K51" i="25"/>
  <c r="L39" i="25"/>
  <c r="L38" i="25"/>
  <c r="L36" i="25"/>
  <c r="L35" i="25"/>
  <c r="L34" i="25"/>
  <c r="L33" i="25"/>
  <c r="L28" i="25"/>
  <c r="L27" i="25"/>
  <c r="L20" i="25"/>
  <c r="L19" i="25"/>
  <c r="L18" i="25"/>
  <c r="K38" i="25"/>
  <c r="K33" i="25"/>
  <c r="I70" i="25" l="1"/>
  <c r="K70" i="25" s="1"/>
  <c r="K69" i="25"/>
  <c r="I39" i="25"/>
  <c r="K39" i="25" l="1"/>
  <c r="I18" i="25" l="1"/>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<sst xmlns="http://schemas.openxmlformats.org/spreadsheetml/2006/main" count="414" uniqueCount="276">
  <si>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</si>
  <si>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</si>
  <si>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</si>
  <si>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</si>
  <si>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</si>
  <si>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</si>
  <si>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</si>
  <si>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</si>
  <si>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</si>
  <si>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</si>
  <si>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</si>
  <si>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</si>
  <si>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</si>
  <si>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</si>
  <si>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</si>
  <si>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</si>
  <si>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</si>
  <si>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</si>
  <si>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</si>
  <si>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</si>
  <si>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</si>
  <si>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</si>
  <si>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</si>
  <si>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</si>
  <si>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</si>
  <si>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</si>
  <si>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</si>
  <si>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</si>
  <si>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</si>
  <si>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</si>
  <si>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</si>
  <si>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</si>
  <si>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</si>
  <si>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</si>
  <si>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</si>
  <si>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</si>
  <si>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Block ID</t>
  </si>
  <si>
    <t>Data Type</t>
  </si>
  <si>
    <t>8-15</t>
  </si>
  <si>
    <t>ERROR</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</si>
  <si>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</si>
  <si>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</si>
  <si>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</si>
  <si>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</si>
  <si>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</si>
  <si>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</si>
  <si>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</si>
  <si>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</si>
  <si>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</si>
  <si>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</si>
  <si>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</si>
  <si>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</si>
  <si>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</si>
  <si>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</si>
  <si>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</si>
  <si>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</si>
  <si>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</si>
  <si>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</si>
  <si>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</si>
  <si>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</si>
  <si>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</si>
  <si>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</si>
  <si>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</si>
  <si>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</si>
  <si>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</si>
  <si>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</si>
  <si>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</si>
  <si>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</si>
  <si>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</si>
  <si>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</si>
  <si>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</si>
  <si>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</si>
  <si>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</si>
  <si>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</si>
  <si>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</si>
  <si>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</si>
  <si>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</si>
  <si>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</si>
  <si>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</si>
  <si>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</si>
  <si>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</si>
  <si>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</si>
  <si>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</si>
  <si>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</si>
  <si>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</si>
  <si>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</si>
  <si>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</si>
  <si>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</si>
  <si>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</si>
  <si>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</si>
  <si>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</si>
  <si>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</si>
  <si>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</si>
  <si>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</si>
  <si>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</si>
  <si>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</si>
  <si>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</si>
  <si>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</si>
  <si>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</si>
  <si>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</si>
  <si>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</si>
  <si>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</si>
  <si>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</si>
  <si>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</si>
  <si>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</si>
  <si>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</si>
  <si>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</si>
  <si>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</si>
  <si>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</si>
  <si>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</si>
  <si>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</si>
  <si>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</si>
  <si>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</si>
  <si>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</si>
  <si>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</si>
  <si>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</si>
  <si>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</si>
  <si>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</si>
  <si>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</si>
  <si>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</si>
  <si>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</si>
  <si>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</si>
  <si>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</si>
  <si>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</si>
  <si>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</si>
  <si>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</si>
  <si>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</si>
  <si>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</si>
  <si>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</si>
  <si>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</si>
  <si>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</si>
  <si>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</si>
  <si>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</si>
  <si>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</si>
  <si>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</si>
  <si>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</si>
  <si>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</si>
  <si>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</si>
  <si>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</si>
  <si>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</si>
  <si>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</si>
  <si>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</si>
  <si>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</si>
  <si>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</si>
  <si>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</si>
  <si>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</si>
  <si>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</si>
  <si>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</si>
  <si>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</si>
  <si>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</si>
  <si>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</si>
  <si>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</si>
  <si>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</si>
  <si>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</si>
  <si>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</si>
  <si>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</si>
  <si>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</si>
  <si>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</si>
  <si>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</si>
  <si>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</si>
  <si>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</si>
  <si>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</si>
  <si>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</si>
  <si>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</si>
  <si>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</si>
  <si>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</si>
  <si>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</si>
  <si>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</si>
  <si>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</si>
  <si>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</si>
  <si>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</si>
  <si>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</si>
  <si>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</si>
  <si>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</si>
  <si>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</si>
  <si>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</si>
  <si>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</si>
  <si>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</si>
  <si>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</si>
  <si>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</si>
  <si>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</si>
  <si>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</si>
  <si>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</si>
  <si>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</si>
  <si>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</si>
  <si>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</si>
  <si>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</si>
  <si>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</si>
  <si>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</si>
  <si>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</si>
  <si>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</si>
  <si>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</si>
  <si>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</si>
  <si>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</si>
  <si>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</si>
  <si>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</si>
  <si>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</si>
  <si>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</si>
  <si>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</si>
  <si>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</si>
  <si>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</si>
  <si>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</si>
  <si>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</si>
  <si>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</si>
  <si>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</si>
  <si>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</si>
  <si>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</si>
  <si>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</si>
  <si>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</si>
  <si>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</si>
  <si>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</si>
  <si>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</si>
  <si>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</si>
  <si>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</si>
  <si>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</si>
  <si>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</si>
  <si>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</si>
  <si>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</si>
  <si>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</si>
  <si>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</si>
  <si>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</si>
  <si>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</si>
  <si>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</si>
  <si>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</si>
  <si>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</si>
  <si>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</si>
  <si>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</si>
  <si>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</si>
  <si>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</si>
  <si>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</si>
  <si>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</si>
  <si>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</si>
  <si>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</si>
  <si>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</si>
  <si>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</si>
  <si>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</si>
  <si>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</si>
  <si>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</si>
  <si>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PF</t>
  </si>
  <si>
    <t>PF_SIMULATOR</t>
  </si>
  <si>
    <t>PF simulation registers</t>
  </si>
  <si>
    <t>CUTOFF_LP</t>
  </si>
  <si>
    <t>LP cutoff frequency</t>
  </si>
  <si>
    <t>kHz</t>
  </si>
  <si>
    <t>Set cutoff frequency of low pass filter</t>
  </si>
  <si>
    <t>HP cutoff frequency</t>
  </si>
  <si>
    <t>Hz</t>
  </si>
  <si>
    <t>Set cutoff frequency of high pass filter</t>
  </si>
  <si>
    <t>Filters mode</t>
  </si>
  <si>
    <t>PF_BP</t>
  </si>
  <si>
    <t>bandpass</t>
  </si>
  <si>
    <t>PF_LP</t>
  </si>
  <si>
    <t>active only low pass filter</t>
  </si>
  <si>
    <t>PF_HP</t>
  </si>
  <si>
    <t>highpass</t>
  </si>
  <si>
    <t>CUTOFF_HP</t>
  </si>
  <si>
    <t>C:\Users\evzen\OneDrive\Plocha\PF_firmware\PFMain\Documents\txts\PFSim_Define.txt</t>
  </si>
  <si>
    <t>C:\Users\evzen\OneDrive\Plocha\PF_firmware\PFMain\Documents\txts\PFSim_Storage.txt</t>
  </si>
  <si>
    <t>C:\Users\evzen\OneDrive\Plocha\PF_firmware\PFMain\Documents\txts\PFSim_Factory.txt</t>
  </si>
  <si>
    <t>C:\Users\evzen\OneDrive\Plocha\PF_firmware\PFMain\Documents\txts\reg_map.c</t>
  </si>
  <si>
    <t>C:\Users\evzen\OneDrive\Plocha\PF_firmware\PFMain\Documents\txts\PFSim_Modbus.json</t>
  </si>
  <si>
    <t>C:\Users\evzen\OneDrive\Plocha\PF_firmware\PFMain\Documents\txts\PFSim_registers.json</t>
  </si>
  <si>
    <t>C:\Users\evzen\OneDrive\Plocha\PF_firmware\PFMain\Documents\txts\PFSimRegs.py</t>
  </si>
  <si>
    <t>C:\Users\evzen\OneDrive\Plocha\PF_firmware\PFMain\Tests\pf-sim\</t>
  </si>
  <si>
    <t>C:\Users\evzen\OneDrive\Plocha\PF_firmware\PFMain\Firmware\PFSim-APP\Core\Common\</t>
  </si>
  <si>
    <t>C:\Users\evzen\OneDrive\Plocha\PF_firmware\PFMain\Firmware\PFSim-APP\Core\Serial\</t>
  </si>
  <si>
    <t>PF_NP</t>
  </si>
  <si>
    <t>without filter</t>
  </si>
  <si>
    <t>bypass both filters</t>
  </si>
  <si>
    <t>lowpass</t>
  </si>
  <si>
    <t>active high pass filter and 100 kHz LP</t>
  </si>
  <si>
    <t>RESET</t>
  </si>
  <si>
    <t>PF_RESET</t>
  </si>
  <si>
    <t>Write 0 for reset</t>
  </si>
  <si>
    <t>Reset filters</t>
  </si>
  <si>
    <t>active high and low pass filter - recommended to set LP below or equal to 100kHz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</si>
</sst>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9">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xf numFmtId="0" fontId="0" fillId="0" borderId="0" xfId="0" applyFont="1" applyAlignment="1">
      <alignment horizontal="center" vertical="center"/>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0</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vzen\OneDrive\Plocha\pf.xlsm" TargetMode="External"/><Relationship Id="rId1" Type="http://schemas.openxmlformats.org/officeDocument/2006/relationships/externalLinkPath" Target="/Users/evzen/OneDrive/Plocha/p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gisters"/>
      <sheetName val="Common"/>
    </sheetNames>
    <sheetDataSet>
      <sheetData sheetId="0" refreshError="1"/>
      <sheetData sheetId="1" refreshError="1">
        <row r="10">
          <cell r="C10" t="str">
            <v>Abbrev.</v>
          </cell>
          <cell r="D10" t="str">
            <v>Code</v>
          </cell>
        </row>
        <row r="11">
          <cell r="C11" t="str">
            <v>SYS</v>
          </cell>
          <cell r="D11">
            <v>0</v>
          </cell>
        </row>
        <row r="12">
          <cell r="C12" t="str">
            <v>FACT</v>
          </cell>
          <cell r="D12">
            <v>1</v>
          </cell>
        </row>
        <row r="13">
          <cell r="C13" t="str">
            <v>FIRM</v>
          </cell>
          <cell r="D13">
            <v>2</v>
          </cell>
        </row>
        <row r="14">
          <cell r="C14" t="str">
            <v>COM</v>
          </cell>
          <cell r="D14">
            <v>3</v>
          </cell>
        </row>
        <row r="15">
          <cell r="C15" t="str">
            <v>CALIB</v>
          </cell>
          <cell r="D15">
            <v>4</v>
          </cell>
        </row>
        <row r="16">
          <cell r="C16" t="str">
            <v>PF</v>
          </cell>
          <cell r="D16">
            <v>5</v>
          </cell>
        </row>
        <row r="17">
          <cell r="C17" t="str">
            <v>DBG</v>
          </cell>
          <cell r="D17">
            <v>6</v>
          </cell>
        </row>
        <row r="18">
          <cell r="C18"/>
          <cell r="D18">
            <v>7</v>
          </cell>
        </row>
        <row r="19">
          <cell r="C19"/>
          <cell r="D19">
            <v>8</v>
          </cell>
        </row>
        <row r="20">
          <cell r="C20"/>
          <cell r="D20">
            <v>9</v>
          </cell>
        </row>
        <row r="21">
          <cell r="D21">
            <v>10</v>
          </cell>
        </row>
        <row r="22">
          <cell r="D22">
            <v>11</v>
          </cell>
        </row>
        <row r="23">
          <cell r="C23"/>
          <cell r="D23">
            <v>12</v>
          </cell>
        </row>
        <row r="24">
          <cell r="C24"/>
          <cell r="D24">
            <v>13</v>
          </cell>
        </row>
        <row r="25">
          <cell r="D25">
            <v>14</v>
          </cell>
        </row>
        <row r="26">
          <cell r="C26"/>
          <cell r="D26">
            <v>15</v>
          </cell>
        </row>
        <row r="27">
          <cell r="C27"/>
          <cell r="D27">
            <v>16</v>
          </cell>
        </row>
        <row r="28">
          <cell r="C28"/>
          <cell r="D28">
            <v>17</v>
          </cell>
        </row>
        <row r="29">
          <cell r="C29"/>
          <cell r="D29">
            <v>18</v>
          </cell>
        </row>
        <row r="30">
          <cell r="C30"/>
          <cell r="D30">
            <v>19</v>
          </cell>
        </row>
        <row r="31">
          <cell r="C31"/>
          <cell r="D31">
            <v>20</v>
          </cell>
        </row>
        <row r="32">
          <cell r="C32"/>
          <cell r="D32">
            <v>21</v>
          </cell>
        </row>
        <row r="33">
          <cell r="C33"/>
          <cell r="D33">
            <v>22</v>
          </cell>
        </row>
        <row r="34">
          <cell r="C34"/>
          <cell r="D34">
            <v>23</v>
          </cell>
        </row>
        <row r="51">
          <cell r="C51" t="str">
            <v>BIN</v>
          </cell>
          <cell r="D51">
            <v>0</v>
          </cell>
        </row>
        <row r="52">
          <cell r="C52" t="str">
            <v>INT</v>
          </cell>
          <cell r="D52">
            <v>1</v>
          </cell>
        </row>
        <row r="53">
          <cell r="C53" t="str">
            <v>FLOAT</v>
          </cell>
          <cell r="D53">
            <v>2</v>
          </cell>
        </row>
        <row r="54">
          <cell r="C54" t="str">
            <v>STRING</v>
          </cell>
          <cell r="D54">
            <v>3</v>
          </cell>
        </row>
        <row r="55">
          <cell r="C55" t="str">
            <v>ENUM</v>
          </cell>
          <cell r="D55">
            <v>5</v>
          </cell>
        </row>
        <row r="69">
          <cell r="C69" t="str">
            <v>RO</v>
          </cell>
          <cell r="D69">
            <v>0</v>
          </cell>
        </row>
        <row r="70">
          <cell r="C70" t="str">
            <v>ROF</v>
          </cell>
          <cell r="D70">
            <v>1</v>
          </cell>
        </row>
        <row r="71">
          <cell r="C71" t="str">
            <v>RW</v>
          </cell>
          <cell r="D71">
            <v>2</v>
          </cell>
        </row>
        <row r="72">
          <cell r="C72" t="str">
            <v>RWF</v>
          </cell>
          <cell r="D72">
            <v>3</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zoomScale="55" zoomScaleNormal="55" workbookViewId="0">
      <selection activeCell="E44" sqref="E44"/>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138</v>
      </c>
      <c r="L3" s="8" t="s">
        <v>259</v>
      </c>
      <c r="T3" s="31"/>
    </row>
    <row r="4" spans="1:26" ht="24.95" customHeight="1" x14ac:dyDescent="0.25">
      <c r="D4" s="31" t="s">
        <v>18</v>
      </c>
      <c r="E4" s="31"/>
      <c r="F4" s="31" t="s">
        <v>110</v>
      </c>
      <c r="J4" s="3" t="s">
        <v>1</v>
      </c>
      <c r="K4" s="9" t="s">
        <v>5</v>
      </c>
      <c r="L4" s="8" t="s">
        <v>256</v>
      </c>
      <c r="M4" s="11"/>
      <c r="U4" s="12" t="s">
        <v>1</v>
      </c>
      <c r="Z4" s="10"/>
    </row>
    <row r="5" spans="1:26" ht="24.95" customHeight="1" x14ac:dyDescent="0.25">
      <c r="D5" s="31" t="s">
        <v>19</v>
      </c>
      <c r="E5" s="31"/>
      <c r="F5" s="31" t="s">
        <v>20</v>
      </c>
      <c r="J5" s="3" t="s">
        <v>1</v>
      </c>
      <c r="K5" s="9" t="s">
        <v>97</v>
      </c>
      <c r="L5" s="8" t="s">
        <v>176</v>
      </c>
      <c r="M5" s="11"/>
      <c r="U5" s="12" t="s">
        <v>1</v>
      </c>
      <c r="Z5" s="10"/>
    </row>
    <row r="6" spans="1:26" ht="24.95" customHeight="1" x14ac:dyDescent="0.25">
      <c r="D6" s="31" t="s">
        <v>60</v>
      </c>
      <c r="E6" s="13"/>
      <c r="F6" s="32">
        <v>1</v>
      </c>
      <c r="J6" s="3" t="s">
        <v>1</v>
      </c>
      <c r="K6" s="9" t="s">
        <v>17</v>
      </c>
      <c r="L6" s="8" t="s">
        <v>257</v>
      </c>
      <c r="M6" s="11"/>
      <c r="U6" s="12" t="s">
        <v>1</v>
      </c>
      <c r="Z6" s="10"/>
    </row>
    <row r="7" spans="1:26" ht="24.95" customHeight="1" x14ac:dyDescent="0.25">
      <c r="D7" s="31" t="s">
        <v>137</v>
      </c>
      <c r="E7" s="13"/>
      <c r="F7" s="31" t="str">
        <f>GetWorkName()</f>
        <v>PFSim</v>
      </c>
      <c r="J7" s="3" t="s">
        <v>1</v>
      </c>
      <c r="K7" s="9" t="s">
        <v>21</v>
      </c>
      <c r="L7" s="8" t="s">
        <v>258</v>
      </c>
      <c r="M7" s="11"/>
      <c r="U7" s="12" t="s">
        <v>1</v>
      </c>
      <c r="Z7" s="10"/>
    </row>
    <row r="8" spans="1:26" ht="24.95" customHeight="1" x14ac:dyDescent="0.25">
      <c r="D8" s="31" t="s">
        <v>114</v>
      </c>
      <c r="E8" s="13"/>
      <c r="F8" s="31" t="s">
        <v>264</v>
      </c>
      <c r="J8" s="3" t="s">
        <v>1</v>
      </c>
      <c r="K8" s="9" t="s">
        <v>139</v>
      </c>
      <c r="L8" s="8" t="s">
        <v>260</v>
      </c>
      <c r="M8" s="11"/>
      <c r="U8" s="12" t="s">
        <v>1</v>
      </c>
      <c r="Z8" s="10"/>
    </row>
    <row r="9" spans="1:26" ht="24.95" customHeight="1" x14ac:dyDescent="0.25">
      <c r="D9" s="31" t="s">
        <v>142</v>
      </c>
      <c r="E9" s="13"/>
      <c r="F9" s="31" t="s">
        <v>265</v>
      </c>
      <c r="J9" s="3"/>
      <c r="K9" s="9" t="s">
        <v>1</v>
      </c>
      <c r="L9" s="8" t="s">
        <v>262</v>
      </c>
      <c r="M9" s="11"/>
      <c r="Z9" s="10"/>
    </row>
    <row r="10" spans="1:26" ht="24.95" customHeight="1" x14ac:dyDescent="0.25">
      <c r="D10" s="31" t="s">
        <v>147</v>
      </c>
      <c r="E10" s="13"/>
      <c r="F10" s="31" t="s">
        <v>263</v>
      </c>
      <c r="K10" s="9" t="s">
        <v>148</v>
      </c>
      <c r="L10" s="8" t="s">
        <v>261</v>
      </c>
      <c r="M10" s="11"/>
    </row>
    <row r="11" spans="1:26" ht="24.75" customHeight="1" x14ac:dyDescent="0.25">
      <c r="D11" s="31" t="s">
        <v>149</v>
      </c>
      <c r="F11" s="31"/>
      <c r="K11" s="10"/>
      <c r="M11" s="11"/>
    </row>
    <row r="12" spans="1:26" ht="24.75" customHeight="1" x14ac:dyDescent="0.25">
      <c r="D12" s="31" t="s">
        <v>145</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37</v>
      </c>
      <c r="H16" s="46" t="s">
        <v>11</v>
      </c>
      <c r="I16" s="44" t="s">
        <v>0</v>
      </c>
      <c r="J16" s="46" t="s">
        <v>13</v>
      </c>
      <c r="K16" s="44" t="s">
        <v>16</v>
      </c>
      <c r="L16" s="44" t="s">
        <v>2</v>
      </c>
      <c r="M16" s="51" t="s">
        <v>130</v>
      </c>
      <c r="N16" s="46" t="s">
        <v>14</v>
      </c>
      <c r="O16" s="48" t="s">
        <v>115</v>
      </c>
      <c r="P16" s="48" t="s">
        <v>116</v>
      </c>
      <c r="Q16" s="48" t="s">
        <v>120</v>
      </c>
      <c r="R16" s="48" t="s">
        <v>143</v>
      </c>
      <c r="S16" s="50" t="s">
        <v>98</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164</v>
      </c>
      <c r="F18" s="14" t="s">
        <v>32</v>
      </c>
      <c r="G18" s="5" t="s">
        <v>45</v>
      </c>
      <c r="H18" s="14" t="s">
        <v>42</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161</v>
      </c>
      <c r="N18" s="3">
        <v>0</v>
      </c>
      <c r="O18" s="3"/>
      <c r="P18" s="3"/>
      <c r="Q18" s="3" t="s">
        <v>121</v>
      </c>
      <c r="R18" s="3"/>
      <c r="T18" s="2" t="s">
        <v>162</v>
      </c>
    </row>
    <row r="19" spans="1:20" x14ac:dyDescent="0.25">
      <c r="D19" s="13"/>
      <c r="E19" s="11" t="s">
        <v>43</v>
      </c>
      <c r="F19" s="14" t="s">
        <v>32</v>
      </c>
      <c r="G19" s="5" t="s">
        <v>45</v>
      </c>
      <c r="H19" s="5" t="s">
        <v>48</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136</v>
      </c>
      <c r="N19" s="3">
        <v>1001</v>
      </c>
      <c r="O19" s="10">
        <v>1001</v>
      </c>
      <c r="P19" s="10">
        <v>5050</v>
      </c>
      <c r="R19" s="29"/>
      <c r="T19" s="2" t="s">
        <v>126</v>
      </c>
    </row>
    <row r="20" spans="1:20" x14ac:dyDescent="0.25">
      <c r="A20" s="34"/>
      <c r="D20" s="13"/>
      <c r="E20" t="s">
        <v>144</v>
      </c>
      <c r="F20" s="3" t="s">
        <v>32</v>
      </c>
      <c r="G20" s="3" t="s">
        <v>41</v>
      </c>
      <c r="H20" s="3" t="s">
        <v>42</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146</v>
      </c>
      <c r="N20" s="29"/>
      <c r="O20" s="29"/>
      <c r="P20" s="3"/>
      <c r="Q20" s="29"/>
      <c r="R20" s="29"/>
      <c r="S20" s="34"/>
      <c r="T20" t="s">
        <v>150</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151</v>
      </c>
      <c r="M21" t="s">
        <v>152</v>
      </c>
      <c r="N21" s="29"/>
      <c r="Q21" s="3"/>
      <c r="R21" s="29"/>
      <c r="T21" s="2" t="s">
        <v>163</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156</v>
      </c>
      <c r="M22" t="s">
        <v>157</v>
      </c>
      <c r="N22" s="29"/>
      <c r="O22" s="29"/>
      <c r="P22" s="29"/>
      <c r="Q22" s="29"/>
      <c r="R22" s="29"/>
      <c r="S22" s="34"/>
      <c r="T22" t="s">
        <v>158</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166</v>
      </c>
      <c r="M23" t="s">
        <v>167</v>
      </c>
      <c r="N23" s="29"/>
      <c r="O23" s="29"/>
      <c r="P23" s="29"/>
      <c r="Q23" s="29"/>
      <c r="R23" s="29"/>
      <c r="S23" s="34"/>
      <c r="T23" s="2" t="s">
        <v>168</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183</v>
      </c>
      <c r="M24" t="s">
        <v>184</v>
      </c>
      <c r="N24" s="29"/>
      <c r="O24" s="29"/>
      <c r="P24" s="29"/>
      <c r="Q24" s="29"/>
      <c r="R24" s="29"/>
      <c r="T24" t="s">
        <v>185</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153</v>
      </c>
      <c r="M25" t="s">
        <v>154</v>
      </c>
      <c r="N25" s="29">
        <v>16</v>
      </c>
      <c r="O25" s="29"/>
      <c r="P25" s="29"/>
      <c r="Q25" s="29"/>
      <c r="R25" s="29"/>
      <c r="S25" s="34"/>
      <c r="T25" t="s">
        <v>155</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173</v>
      </c>
      <c r="M26" t="s">
        <v>174</v>
      </c>
      <c r="N26" s="29"/>
      <c r="O26" s="29"/>
      <c r="P26" s="29"/>
      <c r="Q26" s="29"/>
      <c r="R26" s="29"/>
      <c r="S26" s="34"/>
      <c r="T26" s="2" t="s">
        <v>175</v>
      </c>
    </row>
    <row r="27" spans="1:20" s="13" customFormat="1" ht="90" x14ac:dyDescent="0.25">
      <c r="A27" s="36"/>
      <c r="B27" s="12"/>
      <c r="C27" s="12"/>
      <c r="D27" s="14"/>
      <c r="E27" s="37" t="s">
        <v>159</v>
      </c>
      <c r="F27" s="5" t="s">
        <v>32</v>
      </c>
      <c r="G27" s="5" t="s">
        <v>45</v>
      </c>
      <c r="H27" s="5" t="s">
        <v>47</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160</v>
      </c>
      <c r="N27" s="33"/>
      <c r="O27" s="33">
        <v>0</v>
      </c>
      <c r="P27" s="33">
        <v>9901</v>
      </c>
      <c r="Q27" s="33"/>
      <c r="R27" s="5"/>
      <c r="S27" s="33"/>
      <c r="T27" s="39" t="s">
        <v>172</v>
      </c>
    </row>
    <row r="28" spans="1:20" x14ac:dyDescent="0.25">
      <c r="A28" s="34"/>
      <c r="D28" s="14"/>
      <c r="E28" s="2" t="s">
        <v>140</v>
      </c>
      <c r="F28" s="3" t="s">
        <v>32</v>
      </c>
      <c r="G28" s="5" t="s">
        <v>45</v>
      </c>
      <c r="H28" s="18" t="s">
        <v>47</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141</v>
      </c>
      <c r="R28" s="29"/>
      <c r="T28" s="2" t="s">
        <v>170</v>
      </c>
    </row>
    <row r="29" spans="1:20" s="34" customFormat="1" x14ac:dyDescent="0.25">
      <c r="D29" s="40"/>
      <c r="E29" t="s">
        <v>186</v>
      </c>
      <c r="F29" s="3" t="s">
        <v>32</v>
      </c>
      <c r="G29" s="3" t="s">
        <v>45</v>
      </c>
      <c r="H29" s="3" t="s">
        <v>42</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187</v>
      </c>
      <c r="N29" s="29"/>
      <c r="O29" s="29">
        <v>0</v>
      </c>
      <c r="P29" s="3" t="s">
        <v>188</v>
      </c>
      <c r="Q29" s="29"/>
      <c r="R29" s="29"/>
      <c r="T29" t="s">
        <v>189</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58" t="s">
        <v>30</v>
      </c>
      <c r="G33" s="5" t="s">
        <v>45</v>
      </c>
      <c r="H33" s="18" t="s">
        <v>42</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131</v>
      </c>
      <c r="N33" s="3"/>
      <c r="R33" s="29"/>
      <c r="T33" t="s">
        <v>122</v>
      </c>
    </row>
    <row r="34" spans="1:23" x14ac:dyDescent="0.25">
      <c r="A34" s="34"/>
      <c r="D34" s="14"/>
      <c r="E34" s="11" t="s">
        <v>22</v>
      </c>
      <c r="F34" s="14" t="s">
        <v>30</v>
      </c>
      <c r="G34" s="5" t="s">
        <v>45</v>
      </c>
      <c r="H34" s="18" t="s">
        <v>42</v>
      </c>
      <c r="I34" s="14">
        <f t="shared" ref="I34:I39"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132</v>
      </c>
      <c r="N34" s="3"/>
      <c r="O34" s="10">
        <v>8753</v>
      </c>
      <c r="P34" s="10">
        <v>8743</v>
      </c>
      <c r="R34" s="29"/>
      <c r="T34" t="s">
        <v>171</v>
      </c>
    </row>
    <row r="35" spans="1:23" x14ac:dyDescent="0.25">
      <c r="A35" s="34"/>
      <c r="D35" s="14"/>
      <c r="E35" s="11" t="s">
        <v>15</v>
      </c>
      <c r="F35" s="14" t="s">
        <v>30</v>
      </c>
      <c r="G35" s="5" t="s">
        <v>45</v>
      </c>
      <c r="H35" s="18" t="s">
        <v>42</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133</v>
      </c>
      <c r="N35" s="3"/>
      <c r="O35" s="3">
        <v>1001</v>
      </c>
      <c r="P35" s="3">
        <v>5099</v>
      </c>
      <c r="R35" s="29"/>
      <c r="T35" t="s">
        <v>165</v>
      </c>
    </row>
    <row r="36" spans="1:23" x14ac:dyDescent="0.25">
      <c r="A36" s="34"/>
      <c r="D36" s="14"/>
      <c r="E36" s="11" t="s">
        <v>34</v>
      </c>
      <c r="F36" s="14" t="s">
        <v>30</v>
      </c>
      <c r="G36" s="5" t="s">
        <v>45</v>
      </c>
      <c r="H36" s="18" t="s">
        <v>42</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134</v>
      </c>
      <c r="O36" s="3">
        <v>1001</v>
      </c>
      <c r="P36" s="3">
        <v>5099</v>
      </c>
      <c r="R36" s="29"/>
      <c r="T36" t="s">
        <v>123</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45</v>
      </c>
      <c r="H38" s="18" t="s">
        <v>42</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169</v>
      </c>
      <c r="O38" s="29">
        <v>1</v>
      </c>
      <c r="P38" s="10">
        <v>999</v>
      </c>
      <c r="R38" s="29"/>
      <c r="T38" t="s">
        <v>124</v>
      </c>
    </row>
    <row r="39" spans="1:23" x14ac:dyDescent="0.25">
      <c r="A39" s="34"/>
      <c r="D39" s="15"/>
      <c r="E39" s="11" t="s">
        <v>12</v>
      </c>
      <c r="F39" s="10" t="s">
        <v>31</v>
      </c>
      <c r="G39" s="5" t="s">
        <v>45</v>
      </c>
      <c r="H39" s="18" t="s">
        <v>42</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135</v>
      </c>
      <c r="O39" s="29">
        <v>20240810</v>
      </c>
      <c r="P39" s="29">
        <v>20240810</v>
      </c>
      <c r="R39" s="29"/>
      <c r="T39" t="s">
        <v>125</v>
      </c>
    </row>
    <row r="40" spans="1:23" x14ac:dyDescent="0.25">
      <c r="A40" s="34"/>
      <c r="D40" s="15"/>
      <c r="E40" s="11"/>
      <c r="G40" s="5"/>
      <c r="H40" s="18"/>
      <c r="I40" s="14"/>
      <c r="K40" s="10"/>
      <c r="M40"/>
      <c r="R40" s="29"/>
      <c r="T40"/>
    </row>
    <row r="41" spans="1:23" x14ac:dyDescent="0.25">
      <c r="A41" s="34"/>
      <c r="D41" s="15"/>
      <c r="E41" s="11"/>
      <c r="G41" s="5"/>
      <c r="H41" s="18"/>
      <c r="I41" s="14"/>
      <c r="K41" s="10"/>
      <c r="M41"/>
      <c r="R41" s="29"/>
      <c r="T41"/>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190</v>
      </c>
      <c r="F44" s="5" t="s">
        <v>179</v>
      </c>
      <c r="G44" s="3" t="s">
        <v>111</v>
      </c>
      <c r="H44" s="18" t="s">
        <v>44</v>
      </c>
      <c r="I44" s="33">
        <f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2">IF(AND(LEN(E44)&lt;&gt;0,S44=""),F44&amp;"_"&amp;UPPER(E44),"")</f>
        <v>COM_MB_BAUD_RATE</v>
      </c>
      <c r="M44" t="s">
        <v>191</v>
      </c>
      <c r="N44" s="29">
        <v>1</v>
      </c>
      <c r="O44" s="29">
        <v>0</v>
      </c>
      <c r="P44" s="29">
        <v>4</v>
      </c>
      <c r="Q44" s="29"/>
      <c r="R44" s="29"/>
      <c r="S44" s="29"/>
      <c r="T44" t="s">
        <v>192</v>
      </c>
    </row>
    <row r="45" spans="1:23" s="34" customFormat="1" x14ac:dyDescent="0.25">
      <c r="D45" s="40"/>
      <c r="F45" s="5" t="s">
        <v>179</v>
      </c>
      <c r="G45" s="29"/>
      <c r="H45" s="29"/>
      <c r="I45" s="33">
        <f xml:space="preserve"> I44+J44</f>
        <v>1</v>
      </c>
      <c r="J45" s="29"/>
      <c r="K45" s="10">
        <f xml:space="preserve"> IFERROR("0x" &amp; DEC2HEX(VLOOKUP(F45,Common!$C$10:$D$34,2,FALSE),2) &amp; DEC2HEX(I45,3) &amp; DEC2HEX(VLOOKUP(G45,Common!$C$51:$D$55,2,FALSE),1) &amp; DEC2HEX(1+2*VLOOKUP(H45,Common!$C$69:$D$72,2,FALSE),1) &amp; DEC2HEX(IFERROR(LOG(J45,2),0),1),0)</f>
        <v>0</v>
      </c>
      <c r="L45" s="3" t="s">
        <v>193</v>
      </c>
      <c r="M45" s="41">
        <v>9600</v>
      </c>
      <c r="N45" s="29"/>
      <c r="O45" s="29"/>
      <c r="P45" s="29"/>
      <c r="Q45" s="29"/>
      <c r="R45" s="29"/>
      <c r="S45" s="29"/>
      <c r="T45" t="s">
        <v>194</v>
      </c>
    </row>
    <row r="46" spans="1:23" s="34" customFormat="1" x14ac:dyDescent="0.25">
      <c r="D46" s="40"/>
      <c r="F46" s="5" t="s">
        <v>179</v>
      </c>
      <c r="G46" s="29"/>
      <c r="H46" s="29"/>
      <c r="I46" s="33">
        <f xml:space="preserve"> I45+J45</f>
        <v>1</v>
      </c>
      <c r="J46" s="29"/>
      <c r="K46" s="10">
        <f xml:space="preserve"> IFERROR("0x" &amp; DEC2HEX(VLOOKUP(F46,Common!$C$10:$D$34,2,FALSE),2) &amp; DEC2HEX(I46,3) &amp; DEC2HEX(VLOOKUP(G46,Common!$C$51:$D$55,2,FALSE),1) &amp; DEC2HEX(1+2*VLOOKUP(H46,Common!$C$69:$D$72,2,FALSE),1) &amp; DEC2HEX(IFERROR(LOG(J46,2),0),1),0)</f>
        <v>0</v>
      </c>
      <c r="L46" s="3" t="s">
        <v>195</v>
      </c>
      <c r="M46" s="41">
        <v>19200</v>
      </c>
      <c r="N46" s="29"/>
      <c r="O46" s="29"/>
      <c r="P46" s="29"/>
      <c r="Q46" s="29"/>
      <c r="R46" s="29"/>
      <c r="S46" s="29"/>
      <c r="T46" t="s">
        <v>196</v>
      </c>
    </row>
    <row r="47" spans="1:23" s="34" customFormat="1" x14ac:dyDescent="0.25">
      <c r="D47" s="40"/>
      <c r="F47" s="5" t="s">
        <v>179</v>
      </c>
      <c r="G47" s="29"/>
      <c r="H47" s="29"/>
      <c r="I47" s="33">
        <f xml:space="preserve"> I46+J46</f>
        <v>1</v>
      </c>
      <c r="J47" s="29"/>
      <c r="K47" s="10">
        <f xml:space="preserve"> IFERROR("0x" &amp; DEC2HEX(VLOOKUP(F47,Common!$C$10:$D$34,2,FALSE),2) &amp; DEC2HEX(I47,3) &amp; DEC2HEX(VLOOKUP(G47,Common!$C$51:$D$55,2,FALSE),1) &amp; DEC2HEX(1+2*VLOOKUP(H47,Common!$C$69:$D$72,2,FALSE),1) &amp; DEC2HEX(IFERROR(LOG(J47,2),0),1),0)</f>
        <v>0</v>
      </c>
      <c r="L47" s="3" t="s">
        <v>197</v>
      </c>
      <c r="M47" s="41">
        <v>38400</v>
      </c>
      <c r="N47" s="29"/>
      <c r="O47" s="29"/>
      <c r="P47" s="29"/>
      <c r="Q47" s="29"/>
      <c r="R47" s="29"/>
      <c r="S47" s="29"/>
      <c r="T47" t="s">
        <v>198</v>
      </c>
    </row>
    <row r="48" spans="1:23" s="34" customFormat="1" x14ac:dyDescent="0.25">
      <c r="D48" s="40"/>
      <c r="F48" s="5" t="s">
        <v>179</v>
      </c>
      <c r="G48" s="29"/>
      <c r="H48" s="29"/>
      <c r="I48" s="33">
        <f xml:space="preserve"> I47+J47</f>
        <v>1</v>
      </c>
      <c r="J48" s="29"/>
      <c r="K48" s="10">
        <f xml:space="preserve"> IFERROR("0x" &amp; DEC2HEX(VLOOKUP(F48,Common!$C$10:$D$34,2,FALSE),2) &amp; DEC2HEX(I48,3) &amp; DEC2HEX(VLOOKUP(G48,Common!$C$51:$D$55,2,FALSE),1) &amp; DEC2HEX(1+2*VLOOKUP(H48,Common!$C$69:$D$72,2,FALSE),1) &amp; DEC2HEX(IFERROR(LOG(J48,2),0),1),0)</f>
        <v>0</v>
      </c>
      <c r="L48" s="3" t="s">
        <v>199</v>
      </c>
      <c r="M48" s="41">
        <v>57600</v>
      </c>
      <c r="N48" s="29"/>
      <c r="O48" s="29"/>
      <c r="P48" s="29"/>
      <c r="Q48" s="29"/>
      <c r="R48" s="29"/>
      <c r="S48" s="29"/>
      <c r="T48" t="s">
        <v>200</v>
      </c>
    </row>
    <row r="49" spans="4:26" s="34" customFormat="1" x14ac:dyDescent="0.25">
      <c r="D49" s="40"/>
      <c r="F49" s="5" t="s">
        <v>179</v>
      </c>
      <c r="G49" s="29"/>
      <c r="H49" s="29"/>
      <c r="I49" s="33">
        <f xml:space="preserve"> I48+J48</f>
        <v>1</v>
      </c>
      <c r="J49" s="29"/>
      <c r="K49" s="10">
        <f xml:space="preserve"> IFERROR("0x" &amp; DEC2HEX(VLOOKUP(F49,Common!$C$10:$D$34,2,FALSE),2) &amp; DEC2HEX(I49,3) &amp; DEC2HEX(VLOOKUP(G49,Common!$C$51:$D$55,2,FALSE),1) &amp; DEC2HEX(1+2*VLOOKUP(H49,Common!$C$69:$D$72,2,FALSE),1) &amp; DEC2HEX(IFERROR(LOG(J49,2),0),1),0)</f>
        <v>0</v>
      </c>
      <c r="L49" s="3" t="s">
        <v>201</v>
      </c>
      <c r="M49" s="41">
        <v>115200</v>
      </c>
      <c r="N49" s="29"/>
      <c r="O49" s="29"/>
      <c r="P49" s="29"/>
      <c r="Q49" s="29"/>
      <c r="R49" s="29"/>
      <c r="S49" s="29"/>
      <c r="T49" t="s">
        <v>202</v>
      </c>
    </row>
    <row r="50" spans="4:26" s="34" customFormat="1" x14ac:dyDescent="0.25">
      <c r="D50" s="40"/>
      <c r="E50" t="s">
        <v>203</v>
      </c>
      <c r="F50" s="5" t="s">
        <v>179</v>
      </c>
      <c r="G50" s="3" t="s">
        <v>111</v>
      </c>
      <c r="H50" s="3" t="s">
        <v>44</v>
      </c>
      <c r="I50" s="33">
        <f xml:space="preserve"> I49+J49</f>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3">IF(AND(LEN(E50)&lt;&gt;0,S50=""),F50&amp;"_"&amp;UPPER(E50),"")</f>
        <v>COM_MB_PARITY</v>
      </c>
      <c r="M50" s="41" t="s">
        <v>204</v>
      </c>
      <c r="N50" s="29">
        <v>1</v>
      </c>
      <c r="O50" s="29">
        <v>0</v>
      </c>
      <c r="P50" s="29">
        <v>2</v>
      </c>
      <c r="Q50" s="29"/>
      <c r="R50" s="29"/>
      <c r="S50" s="29"/>
      <c r="T50" t="s">
        <v>205</v>
      </c>
    </row>
    <row r="51" spans="4:26" s="34" customFormat="1" x14ac:dyDescent="0.25">
      <c r="D51" s="40"/>
      <c r="F51" s="5" t="s">
        <v>179</v>
      </c>
      <c r="G51" s="29"/>
      <c r="H51" s="29"/>
      <c r="I51" s="33">
        <f xml:space="preserve"> I50+J50</f>
        <v>2</v>
      </c>
      <c r="J51" s="29"/>
      <c r="K51" s="10">
        <f xml:space="preserve"> IFERROR("0x" &amp; DEC2HEX(VLOOKUP(F51,Common!$C$10:$D$34,2,FALSE),2) &amp; DEC2HEX(I51,3) &amp; DEC2HEX(VLOOKUP(G51,Common!$C$51:$D$55,2,FALSE),1) &amp; DEC2HEX(1+2*VLOOKUP(H51,Common!$C$69:$D$72,2,FALSE),1) &amp; DEC2HEX(IFERROR(LOG(J51,2),0),1),0)</f>
        <v>0</v>
      </c>
      <c r="L51" s="3" t="s">
        <v>206</v>
      </c>
      <c r="M51" s="41" t="s">
        <v>207</v>
      </c>
      <c r="N51" s="29"/>
      <c r="O51" s="29"/>
      <c r="P51" s="29"/>
      <c r="Q51" s="29"/>
      <c r="R51" s="29"/>
      <c r="S51" s="29"/>
      <c r="T51" t="s">
        <v>208</v>
      </c>
    </row>
    <row r="52" spans="4:26" s="34" customFormat="1" x14ac:dyDescent="0.25">
      <c r="D52" s="40"/>
      <c r="F52" s="5" t="s">
        <v>179</v>
      </c>
      <c r="G52" s="29"/>
      <c r="H52" s="29"/>
      <c r="I52" s="33">
        <f xml:space="preserve"> I51+J51</f>
        <v>2</v>
      </c>
      <c r="J52" s="29"/>
      <c r="K52" s="10">
        <f xml:space="preserve"> IFERROR("0x" &amp; DEC2HEX(VLOOKUP(F52,Common!$C$10:$D$34,2,FALSE),2) &amp; DEC2HEX(I52,3) &amp; DEC2HEX(VLOOKUP(G52,Common!$C$51:$D$55,2,FALSE),1) &amp; DEC2HEX(1+2*VLOOKUP(H52,Common!$C$69:$D$72,2,FALSE),1) &amp; DEC2HEX(IFERROR(LOG(J52,2),0),1),0)</f>
        <v>0</v>
      </c>
      <c r="L52" s="3" t="s">
        <v>209</v>
      </c>
      <c r="M52" t="s">
        <v>210</v>
      </c>
      <c r="N52" s="29"/>
      <c r="O52" s="29"/>
      <c r="P52" s="29"/>
      <c r="Q52" s="29"/>
      <c r="R52" s="29"/>
      <c r="S52" s="29"/>
      <c r="T52" t="s">
        <v>211</v>
      </c>
    </row>
    <row r="53" spans="4:26" s="34" customFormat="1" x14ac:dyDescent="0.25">
      <c r="D53" s="40"/>
      <c r="F53" s="5" t="s">
        <v>179</v>
      </c>
      <c r="G53" s="29"/>
      <c r="H53" s="29"/>
      <c r="I53" s="33">
        <f xml:space="preserve"> I52+J52</f>
        <v>2</v>
      </c>
      <c r="J53" s="29"/>
      <c r="K53" s="10">
        <f xml:space="preserve"> IFERROR("0x" &amp; DEC2HEX(VLOOKUP(F53,Common!$C$10:$D$34,2,FALSE),2) &amp; DEC2HEX(I53,3) &amp; DEC2HEX(VLOOKUP(G53,Common!$C$51:$D$55,2,FALSE),1) &amp; DEC2HEX(1+2*VLOOKUP(H53,Common!$C$69:$D$72,2,FALSE),1) &amp; DEC2HEX(IFERROR(LOG(J53,2),0),1),0)</f>
        <v>0</v>
      </c>
      <c r="L53" s="3" t="s">
        <v>212</v>
      </c>
      <c r="M53" t="s">
        <v>213</v>
      </c>
      <c r="N53" s="29"/>
      <c r="O53" s="29"/>
      <c r="P53" s="29"/>
      <c r="Q53" s="29"/>
      <c r="R53" s="29"/>
      <c r="S53" s="29"/>
      <c r="T53" t="s">
        <v>214</v>
      </c>
    </row>
    <row r="54" spans="4:26" s="34" customFormat="1" x14ac:dyDescent="0.25">
      <c r="D54" s="40"/>
      <c r="E54" t="s">
        <v>215</v>
      </c>
      <c r="F54" s="5" t="s">
        <v>179</v>
      </c>
      <c r="G54" s="3" t="s">
        <v>111</v>
      </c>
      <c r="H54" s="3" t="s">
        <v>44</v>
      </c>
      <c r="I54" s="33">
        <f xml:space="preserve"> I53+J53</f>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4">IF(AND(LEN(E54)&lt;&gt;0,S54=""),F54&amp;"_"&amp;UPPER(E54),"")</f>
        <v>COM_MB_STOP_BITS</v>
      </c>
      <c r="M54" t="s">
        <v>216</v>
      </c>
      <c r="N54" s="29">
        <v>0</v>
      </c>
      <c r="O54" s="29">
        <v>0</v>
      </c>
      <c r="P54" s="29">
        <v>1</v>
      </c>
      <c r="Q54" s="29"/>
      <c r="R54" s="29"/>
      <c r="S54" s="29"/>
      <c r="T54" t="s">
        <v>217</v>
      </c>
    </row>
    <row r="55" spans="4:26" s="34" customFormat="1" x14ac:dyDescent="0.25">
      <c r="D55" s="40"/>
      <c r="F55" s="5" t="s">
        <v>179</v>
      </c>
      <c r="G55" s="29"/>
      <c r="H55" s="29"/>
      <c r="I55" s="33">
        <f xml:space="preserve"> I54+J54</f>
        <v>3</v>
      </c>
      <c r="J55" s="29"/>
      <c r="K55" s="10">
        <f xml:space="preserve"> IFERROR("0x" &amp; DEC2HEX(VLOOKUP(F55,Common!$C$10:$D$34,2,FALSE),2) &amp; DEC2HEX(I55,3) &amp; DEC2HEX(VLOOKUP(G55,Common!$C$51:$D$55,2,FALSE),1) &amp; DEC2HEX(1+2*VLOOKUP(H55,Common!$C$69:$D$72,2,FALSE),1) &amp; DEC2HEX(IFERROR(LOG(J55,2),0),1),0)</f>
        <v>0</v>
      </c>
      <c r="L55" s="3" t="s">
        <v>218</v>
      </c>
      <c r="M55" t="s">
        <v>219</v>
      </c>
      <c r="N55" s="29"/>
      <c r="O55" s="29"/>
      <c r="P55" s="29"/>
      <c r="Q55" s="29"/>
      <c r="R55" s="29"/>
      <c r="S55" s="29"/>
      <c r="T55" t="s">
        <v>219</v>
      </c>
    </row>
    <row r="56" spans="4:26" s="34" customFormat="1" x14ac:dyDescent="0.25">
      <c r="D56" s="40"/>
      <c r="F56" s="5" t="s">
        <v>179</v>
      </c>
      <c r="G56" s="29"/>
      <c r="H56" s="29"/>
      <c r="I56" s="33">
        <f xml:space="preserve"> I55+J55</f>
        <v>3</v>
      </c>
      <c r="J56" s="29"/>
      <c r="K56" s="10">
        <f xml:space="preserve"> IFERROR("0x" &amp; DEC2HEX(VLOOKUP(F56,Common!$C$10:$D$34,2,FALSE),2) &amp; DEC2HEX(I56,3) &amp; DEC2HEX(VLOOKUP(G56,Common!$C$51:$D$55,2,FALSE),1) &amp; DEC2HEX(1+2*VLOOKUP(H56,Common!$C$69:$D$72,2,FALSE),1) &amp; DEC2HEX(IFERROR(LOG(J56,2),0),1),0)</f>
        <v>0</v>
      </c>
      <c r="L56" s="3" t="s">
        <v>220</v>
      </c>
      <c r="M56" t="s">
        <v>221</v>
      </c>
      <c r="N56" s="29"/>
      <c r="O56" s="29"/>
      <c r="P56" s="29"/>
      <c r="Q56" s="29"/>
      <c r="R56" s="29"/>
      <c r="S56" s="29"/>
      <c r="T56" t="s">
        <v>221</v>
      </c>
    </row>
    <row r="57" spans="4:26" s="34" customFormat="1" x14ac:dyDescent="0.25">
      <c r="D57" s="40"/>
      <c r="E57" t="s">
        <v>222</v>
      </c>
      <c r="F57" s="5" t="s">
        <v>179</v>
      </c>
      <c r="G57" s="3" t="s">
        <v>45</v>
      </c>
      <c r="H57" s="3" t="s">
        <v>47</v>
      </c>
      <c r="I57" s="33">
        <f xml:space="preserve"> I56+J56</f>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5">IF(AND(LEN(E57)&lt;&gt;0,S57=""),F57&amp;"_"&amp;UPPER(E57),"")</f>
        <v>COM_RESERVED</v>
      </c>
      <c r="M57"/>
      <c r="N57" s="29"/>
      <c r="O57" s="29"/>
      <c r="P57" s="29"/>
      <c r="Q57" s="29"/>
      <c r="R57" s="3" t="s">
        <v>223</v>
      </c>
      <c r="S57" s="29"/>
      <c r="T57"/>
    </row>
    <row r="58" spans="4:26" s="34" customFormat="1" x14ac:dyDescent="0.25">
      <c r="D58" s="40"/>
      <c r="E58" t="s">
        <v>224</v>
      </c>
      <c r="F58" s="5" t="s">
        <v>179</v>
      </c>
      <c r="G58" s="3" t="s">
        <v>45</v>
      </c>
      <c r="H58" s="3" t="s">
        <v>42</v>
      </c>
      <c r="I58" s="33">
        <f xml:space="preserve"> I57+J57</f>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5"/>
        <v>COM_MB_ADDRESS</v>
      </c>
      <c r="M58" t="s">
        <v>225</v>
      </c>
      <c r="N58" s="29">
        <v>32</v>
      </c>
      <c r="O58" s="29">
        <v>32</v>
      </c>
      <c r="P58" s="29">
        <v>63</v>
      </c>
      <c r="Q58" s="29"/>
      <c r="R58" s="29" t="s">
        <v>223</v>
      </c>
      <c r="S58" s="29"/>
      <c r="T58" t="s">
        <v>226</v>
      </c>
    </row>
    <row r="59" spans="4:26" s="34" customFormat="1" x14ac:dyDescent="0.25">
      <c r="D59" s="40"/>
      <c r="E59" t="s">
        <v>227</v>
      </c>
      <c r="F59" s="3" t="s">
        <v>179</v>
      </c>
      <c r="G59" s="3" t="s">
        <v>45</v>
      </c>
      <c r="H59" s="3" t="s">
        <v>47</v>
      </c>
      <c r="I59" s="33">
        <f xml:space="preserve"> I58+J58</f>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5"/>
        <v>COM_MB_APPLY</v>
      </c>
      <c r="M59" t="s">
        <v>228</v>
      </c>
      <c r="N59" s="29"/>
      <c r="O59" s="29">
        <v>0</v>
      </c>
      <c r="P59" s="29">
        <v>1</v>
      </c>
      <c r="Q59" s="29"/>
      <c r="R59" s="29"/>
      <c r="S59" s="29"/>
      <c r="T59" t="s">
        <v>229</v>
      </c>
    </row>
    <row r="60" spans="4:26" s="34" customFormat="1" x14ac:dyDescent="0.25">
      <c r="D60" s="40"/>
      <c r="E60" t="s">
        <v>230</v>
      </c>
      <c r="F60" s="3" t="s">
        <v>179</v>
      </c>
      <c r="G60" s="3" t="s">
        <v>45</v>
      </c>
      <c r="H60" s="3" t="s">
        <v>44</v>
      </c>
      <c r="I60" s="33">
        <f xml:space="preserve"> I59+J59</f>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5"/>
        <v>COM_MB_TIMEOUT</v>
      </c>
      <c r="M60" t="s">
        <v>184</v>
      </c>
      <c r="N60" s="29">
        <v>10</v>
      </c>
      <c r="O60" s="29">
        <v>0</v>
      </c>
      <c r="P60" s="29">
        <v>7200</v>
      </c>
      <c r="Q60" s="3" t="s">
        <v>121</v>
      </c>
      <c r="R60" s="29"/>
      <c r="S60" s="29"/>
      <c r="T60" t="s">
        <v>231</v>
      </c>
    </row>
    <row r="61" spans="4:26" s="34" customFormat="1" x14ac:dyDescent="0.25">
      <c r="D61" s="40"/>
      <c r="F61" s="29"/>
      <c r="I61" s="33"/>
      <c r="K61" s="10"/>
      <c r="N61" s="29"/>
      <c r="O61" s="29"/>
      <c r="P61" s="29"/>
      <c r="Q61" s="29"/>
      <c r="R61" s="29"/>
    </row>
    <row r="62" spans="4:26" x14ac:dyDescent="0.25">
      <c r="Z62" s="34"/>
    </row>
    <row r="63" spans="4:26" s="34" customFormat="1" x14ac:dyDescent="0.25">
      <c r="D63" s="40"/>
      <c r="E63" t="s">
        <v>241</v>
      </c>
      <c r="F63" s="3" t="s">
        <v>238</v>
      </c>
      <c r="G63" s="3" t="s">
        <v>45</v>
      </c>
      <c r="H63" s="3" t="s">
        <v>47</v>
      </c>
      <c r="I63" s="33">
        <f xml:space="preserve"> I62+J62</f>
        <v>0</v>
      </c>
      <c r="J63" s="29">
        <v>4</v>
      </c>
      <c r="K63" s="29" t="str">
        <f xml:space="preserve"> IFERROR("0x" &amp; DEC2HEX(VLOOKUP(F63,[1]Common!$C$10:$D$34,2,FALSE),2) &amp; DEC2HEX(I63,3) &amp; DEC2HEX(VLOOKUP(G63,[1]Common!$C$51:$D$55,2,FALSE),1) &amp; DEC2HEX(1+2*VLOOKUP(H63,[1]Common!$C$69:$D$72,2,FALSE),1) &amp; DEC2HEX(IFERROR(LOG(J63,2),0),1),0)</f>
        <v>0x05000152</v>
      </c>
      <c r="L63" s="29" t="str">
        <f>IF(AND(LEN(E63)&lt;&gt;0,S63=""),F63&amp;"_"&amp;UPPER(E63),"")</f>
        <v>PF_CUTOFF_LP</v>
      </c>
      <c r="M63" t="s">
        <v>242</v>
      </c>
      <c r="N63" s="29">
        <v>100</v>
      </c>
      <c r="O63" s="3">
        <v>10</v>
      </c>
      <c r="P63" s="29">
        <v>320</v>
      </c>
      <c r="Q63" s="3" t="s">
        <v>243</v>
      </c>
      <c r="R63" s="3"/>
      <c r="T63" t="s">
        <v>244</v>
      </c>
    </row>
    <row r="64" spans="4:26" s="34" customFormat="1" x14ac:dyDescent="0.25">
      <c r="D64" s="40"/>
      <c r="E64" s="34" t="s">
        <v>255</v>
      </c>
      <c r="F64" s="3" t="s">
        <v>238</v>
      </c>
      <c r="G64" s="3" t="s">
        <v>45</v>
      </c>
      <c r="H64" s="3" t="s">
        <v>47</v>
      </c>
      <c r="I64" s="33">
        <f t="shared" ref="I64:I65" si="6" xml:space="preserve"> I63+J63</f>
        <v>4</v>
      </c>
      <c r="J64" s="29">
        <v>4</v>
      </c>
      <c r="K64" s="29" t="str">
        <f xml:space="preserve"> IFERROR("0x" &amp; DEC2HEX(VLOOKUP(F64,[1]Common!$C$10:$D$34,2,FALSE),2) &amp; DEC2HEX(I64,3) &amp; DEC2HEX(VLOOKUP(G64,[1]Common!$C$51:$D$55,2,FALSE),1) &amp; DEC2HEX(1+2*VLOOKUP(H64,[1]Common!$C$69:$D$72,2,FALSE),1) &amp; DEC2HEX(IFERROR(LOG(J64,2),0),1),0)</f>
        <v>0x05004152</v>
      </c>
      <c r="L64" s="3" t="str">
        <f>IF(AND(LEN(E64)&lt;&gt;0,S64=""),F64&amp;"_"&amp;UPPER(E64),"")</f>
        <v>PF_CUTOFF_HP</v>
      </c>
      <c r="M64" t="s">
        <v>245</v>
      </c>
      <c r="N64" s="3">
        <v>1000</v>
      </c>
      <c r="O64" s="3">
        <v>1000</v>
      </c>
      <c r="P64" s="3">
        <v>10000</v>
      </c>
      <c r="Q64" s="29" t="s">
        <v>246</v>
      </c>
      <c r="T64" s="34" t="s">
        <v>247</v>
      </c>
    </row>
    <row r="65" spans="1:35" s="34" customFormat="1" x14ac:dyDescent="0.25">
      <c r="D65" s="40"/>
      <c r="E65" t="s">
        <v>237</v>
      </c>
      <c r="F65" s="5" t="s">
        <v>238</v>
      </c>
      <c r="G65" s="3" t="s">
        <v>111</v>
      </c>
      <c r="H65" s="3" t="s">
        <v>47</v>
      </c>
      <c r="I65" s="33">
        <f t="shared" si="6"/>
        <v>8</v>
      </c>
      <c r="J65" s="29">
        <v>1</v>
      </c>
      <c r="K65" s="29" t="str">
        <f xml:space="preserve"> IFERROR("0x" &amp; DEC2HEX(VLOOKUP(F65,[1]Common!$C$10:$D$34,2,FALSE),2) &amp; DEC2HEX(I65,3) &amp; DEC2HEX(VLOOKUP(G65,[1]Common!$C$51:$D$55,2,FALSE),1) &amp; DEC2HEX(1+2*VLOOKUP(H65,[1]Common!$C$69:$D$72,2,FALSE),1) &amp; DEC2HEX(IFERROR(LOG(J65,2),0),1),0)</f>
        <v>0x05008550</v>
      </c>
      <c r="L65" s="29" t="str">
        <f>IF(AND(LEN(E65)&lt;&gt;0,S65=""),F65&amp;"_"&amp;UPPER(E65),"")</f>
        <v>PF_MODE</v>
      </c>
      <c r="M65" t="s">
        <v>248</v>
      </c>
      <c r="N65" s="29">
        <v>0</v>
      </c>
      <c r="O65" s="29">
        <v>0</v>
      </c>
      <c r="P65" s="29">
        <v>3</v>
      </c>
      <c r="Q65" s="29"/>
      <c r="R65" s="29"/>
      <c r="S65" s="29"/>
      <c r="T65" t="s">
        <v>217</v>
      </c>
    </row>
    <row r="66" spans="1:35" s="34" customFormat="1" x14ac:dyDescent="0.25">
      <c r="D66" s="40"/>
      <c r="F66" s="5" t="s">
        <v>238</v>
      </c>
      <c r="G66" s="29"/>
      <c r="H66" s="29"/>
      <c r="I66" s="33">
        <f xml:space="preserve"> I65+J65</f>
        <v>9</v>
      </c>
      <c r="J66" s="29"/>
      <c r="K66" s="29">
        <f xml:space="preserve"> IFERROR("0x" &amp; DEC2HEX(VLOOKUP(F66,[1]Common!$C$10:$D$34,2,FALSE),2) &amp; DEC2HEX(I66,3) &amp; DEC2HEX(VLOOKUP(G66,[1]Common!$C$51:$D$55,2,FALSE),1) &amp; DEC2HEX(1+2*VLOOKUP(H66,[1]Common!$C$69:$D$72,2,FALSE),1) &amp; DEC2HEX(IFERROR(LOG(J66,2),0),1),0)</f>
        <v>0</v>
      </c>
      <c r="L66" s="3" t="s">
        <v>251</v>
      </c>
      <c r="M66" t="s">
        <v>269</v>
      </c>
      <c r="N66" s="29"/>
      <c r="O66" s="29"/>
      <c r="P66" s="29"/>
      <c r="Q66" s="29"/>
      <c r="R66" s="29"/>
      <c r="S66" s="29"/>
      <c r="T66" t="s">
        <v>252</v>
      </c>
    </row>
    <row r="67" spans="1:35" s="34" customFormat="1" x14ac:dyDescent="0.25">
      <c r="B67" s="12"/>
      <c r="C67" s="12"/>
      <c r="D67"/>
      <c r="F67" s="5" t="s">
        <v>238</v>
      </c>
      <c r="G67" s="29"/>
      <c r="H67" s="29"/>
      <c r="I67" s="33">
        <f t="shared" ref="I67" si="7" xml:space="preserve"> I66+J66</f>
        <v>9</v>
      </c>
      <c r="J67" s="29"/>
      <c r="K67" s="29">
        <f xml:space="preserve"> IFERROR("0x" &amp; DEC2HEX(VLOOKUP(F67,[1]Common!$C$10:$D$34,2,FALSE),2) &amp; DEC2HEX(I67,3) &amp; DEC2HEX(VLOOKUP(G67,[1]Common!$C$51:$D$55,2,FALSE),1) &amp; DEC2HEX(1+2*VLOOKUP(H67,[1]Common!$C$69:$D$72,2,FALSE),1) &amp; DEC2HEX(IFERROR(LOG(J67,2),0),1),0)</f>
        <v>0</v>
      </c>
      <c r="L67" s="3" t="s">
        <v>253</v>
      </c>
      <c r="M67" s="2" t="s">
        <v>254</v>
      </c>
      <c r="N67" s="29"/>
      <c r="O67" s="29"/>
      <c r="P67" s="29"/>
      <c r="Q67" s="29"/>
      <c r="R67" s="29"/>
      <c r="S67" s="29"/>
      <c r="T67" s="2" t="s">
        <v>270</v>
      </c>
    </row>
    <row r="68" spans="1:35" s="10" customFormat="1" x14ac:dyDescent="0.25">
      <c r="A68" s="12"/>
      <c r="B68" s="34"/>
      <c r="C68" s="34"/>
      <c r="D68" s="40"/>
      <c r="E68" s="34"/>
      <c r="F68" s="5" t="s">
        <v>238</v>
      </c>
      <c r="G68" s="29"/>
      <c r="H68" s="29"/>
      <c r="I68" s="33">
        <f xml:space="preserve"> I67+J67</f>
        <v>9</v>
      </c>
      <c r="J68" s="29"/>
      <c r="K68" s="29">
        <f xml:space="preserve"> IFERROR("0x" &amp; DEC2HEX(VLOOKUP(F68,[1]Common!$C$10:$D$34,2,FALSE),2) &amp; DEC2HEX(I68,3) &amp; DEC2HEX(VLOOKUP(G68,[1]Common!$C$51:$D$55,2,FALSE),1) &amp; DEC2HEX(1+2*VLOOKUP(H68,[1]Common!$C$69:$D$72,2,FALSE),1) &amp; DEC2HEX(IFERROR(LOG(J68,2),0),1),0)</f>
        <v>0</v>
      </c>
      <c r="L68" s="3" t="s">
        <v>249</v>
      </c>
      <c r="M68" t="s">
        <v>250</v>
      </c>
      <c r="N68" s="29"/>
      <c r="O68" s="29"/>
      <c r="P68" s="29"/>
      <c r="Q68" s="29"/>
      <c r="R68" s="29"/>
      <c r="S68" s="29"/>
      <c r="T68" t="s">
        <v>275</v>
      </c>
      <c r="U68" s="34"/>
      <c r="V68" s="34"/>
      <c r="W68" s="34"/>
      <c r="X68" s="34"/>
      <c r="Y68" s="34"/>
      <c r="Z68" s="34"/>
      <c r="AA68" s="12"/>
      <c r="AB68" s="12"/>
      <c r="AC68" s="12"/>
      <c r="AD68" s="12"/>
      <c r="AE68" s="12"/>
      <c r="AF68" s="12"/>
      <c r="AG68" s="12"/>
      <c r="AH68" s="12"/>
      <c r="AI68" s="12"/>
    </row>
    <row r="69" spans="1:35" s="34" customFormat="1" x14ac:dyDescent="0.25">
      <c r="F69" s="5" t="s">
        <v>238</v>
      </c>
      <c r="I69" s="33">
        <f xml:space="preserve"> I68+J68</f>
        <v>9</v>
      </c>
      <c r="K69" s="29">
        <f xml:space="preserve"> IFERROR("0x" &amp; DEC2HEX(VLOOKUP(F69,[1]Common!$C$10:$D$34,2,FALSE),2) &amp; DEC2HEX(I69,3) &amp; DEC2HEX(VLOOKUP(G69,[1]Common!$C$51:$D$55,2,FALSE),1) &amp; DEC2HEX(1+2*VLOOKUP(H69,[1]Common!$C$69:$D$72,2,FALSE),1) &amp; DEC2HEX(IFERROR(LOG(J69,2),0),1),0)</f>
        <v>0</v>
      </c>
      <c r="L69" s="3" t="s">
        <v>266</v>
      </c>
      <c r="M69" s="34" t="s">
        <v>267</v>
      </c>
      <c r="T69" s="34" t="s">
        <v>268</v>
      </c>
      <c r="V69" s="29"/>
      <c r="W69" s="29"/>
    </row>
    <row r="70" spans="1:35" s="34" customFormat="1" x14ac:dyDescent="0.25">
      <c r="D70" s="40"/>
      <c r="E70" s="34" t="s">
        <v>271</v>
      </c>
      <c r="F70" s="5" t="s">
        <v>238</v>
      </c>
      <c r="G70" s="3" t="s">
        <v>45</v>
      </c>
      <c r="H70" s="3" t="s">
        <v>47</v>
      </c>
      <c r="I70" s="33">
        <f xml:space="preserve"> I69+J69</f>
        <v>9</v>
      </c>
      <c r="J70" s="29">
        <v>1</v>
      </c>
      <c r="K70" s="29" t="str">
        <f xml:space="preserve"> IFERROR("0x" &amp; DEC2HEX(VLOOKUP(F70,[1]Common!$C$10:$D$34,2,FALSE),2) &amp; DEC2HEX(I70,3) &amp; DEC2HEX(VLOOKUP(G70,[1]Common!$C$51:$D$55,2,FALSE),1) &amp; DEC2HEX(1+2*VLOOKUP(H70,[1]Common!$C$69:$D$72,2,FALSE),1) &amp; DEC2HEX(IFERROR(LOG(J70,2),0),1),0)</f>
        <v>0x05009150</v>
      </c>
      <c r="L70" s="3" t="s">
        <v>272</v>
      </c>
      <c r="M70" t="s">
        <v>274</v>
      </c>
      <c r="N70" s="34">
        <v>1</v>
      </c>
      <c r="O70" s="34">
        <v>0</v>
      </c>
      <c r="P70" s="34">
        <v>1</v>
      </c>
      <c r="T70" t="s">
        <v>273</v>
      </c>
      <c r="U70"/>
    </row>
    <row r="71" spans="1:35" s="34" customFormat="1" x14ac:dyDescent="0.25">
      <c r="D71" s="40"/>
      <c r="U71"/>
    </row>
    <row r="72" spans="1:35" s="34" customFormat="1" x14ac:dyDescent="0.25">
      <c r="D72" s="40"/>
      <c r="E72" s="2" t="s">
        <v>232</v>
      </c>
      <c r="F72" s="3" t="s">
        <v>233</v>
      </c>
      <c r="G72" s="3" t="s">
        <v>45</v>
      </c>
      <c r="H72" s="3" t="s">
        <v>42</v>
      </c>
      <c r="I72" s="33">
        <v>0</v>
      </c>
      <c r="J72" s="29">
        <v>4</v>
      </c>
      <c r="K72" s="29" t="str">
        <f xml:space="preserve"> IFERROR("0x" &amp; DEC2HEX(VLOOKUP(F72,[1]Common!$C$10:$D$34,2,FALSE),2) &amp; DEC2HEX(I72,3) &amp; DEC2HEX(VLOOKUP(G72,[1]Common!$C$51:$D$55,2,FALSE),1) &amp; DEC2HEX(1+2*VLOOKUP(H72,[1]Common!$C$69:$D$72,2,FALSE),1) &amp; DEC2HEX(IFERROR(LOG(J72,2),0),1),0)</f>
        <v>0x06000112</v>
      </c>
      <c r="L72" s="29" t="str">
        <f>IF(AND(LEN(E72)&lt;&gt;0,S72=""),F72&amp;"_"&amp;UPPER(E72),"")</f>
        <v>DBG_WRITES_CONF</v>
      </c>
      <c r="M72" t="s">
        <v>234</v>
      </c>
      <c r="N72" s="29"/>
      <c r="O72" s="29">
        <v>0</v>
      </c>
      <c r="P72" s="29">
        <v>1000000</v>
      </c>
      <c r="Q72" s="3" t="s">
        <v>235</v>
      </c>
      <c r="R72" s="29"/>
      <c r="S72" s="29"/>
      <c r="T72" t="s">
        <v>236</v>
      </c>
    </row>
    <row r="73" spans="1:35" s="34" customFormat="1" x14ac:dyDescent="0.25">
      <c r="D73" s="40"/>
      <c r="E73"/>
      <c r="F73" s="3"/>
      <c r="G73" s="3"/>
      <c r="H73" s="3"/>
      <c r="I73" s="33"/>
      <c r="J73" s="29"/>
      <c r="K73" s="10"/>
      <c r="L73" s="29"/>
      <c r="M73"/>
      <c r="N73" s="29"/>
      <c r="O73" s="29"/>
      <c r="P73" s="29"/>
      <c r="Q73" s="29"/>
      <c r="R73" s="29"/>
      <c r="S73" s="29"/>
      <c r="T73"/>
      <c r="Z73" s="12"/>
    </row>
    <row r="74" spans="1:35" s="34" customFormat="1" x14ac:dyDescent="0.25">
      <c r="D74" s="40"/>
      <c r="Z74" s="12"/>
    </row>
    <row r="75" spans="1:35" s="34" customFormat="1" x14ac:dyDescent="0.25">
      <c r="D75" s="40"/>
      <c r="E75"/>
      <c r="F75" s="3"/>
      <c r="G75" s="3"/>
      <c r="H75" s="3"/>
      <c r="I75" s="33"/>
      <c r="J75" s="29"/>
      <c r="K75" s="10"/>
      <c r="L75" s="29"/>
      <c r="M75"/>
      <c r="N75" s="29"/>
      <c r="O75" s="29"/>
      <c r="P75" s="29"/>
      <c r="Q75" s="3"/>
      <c r="R75" s="29"/>
      <c r="T75" s="35"/>
    </row>
    <row r="76" spans="1:35" s="34" customFormat="1" x14ac:dyDescent="0.25">
      <c r="D76" s="40"/>
      <c r="E76"/>
      <c r="F76" s="3"/>
      <c r="G76" s="3"/>
      <c r="H76" s="3"/>
      <c r="I76" s="33"/>
      <c r="J76" s="29"/>
      <c r="K76" s="10"/>
      <c r="L76" s="29"/>
      <c r="M76"/>
      <c r="N76" s="29"/>
      <c r="O76" s="3"/>
      <c r="P76" s="29"/>
      <c r="Q76" s="3"/>
      <c r="R76" s="3"/>
      <c r="T76"/>
      <c r="Z76" s="12"/>
    </row>
    <row r="77" spans="1:35" s="34" customFormat="1" x14ac:dyDescent="0.25">
      <c r="D77" s="40"/>
      <c r="E77"/>
      <c r="F77" s="3"/>
      <c r="G77" s="3"/>
      <c r="H77" s="3"/>
      <c r="I77" s="33"/>
      <c r="J77" s="29"/>
      <c r="K77" s="10"/>
      <c r="L77" s="29"/>
      <c r="M77"/>
      <c r="N77" s="29"/>
      <c r="O77" s="3"/>
      <c r="P77" s="29"/>
      <c r="Q77" s="3"/>
      <c r="R77" s="3"/>
      <c r="T77"/>
      <c r="Z77" s="12"/>
    </row>
    <row r="78" spans="1:35" s="34" customFormat="1" x14ac:dyDescent="0.25">
      <c r="D78" s="40"/>
      <c r="E78" s="24"/>
      <c r="F78" s="3"/>
      <c r="G78" s="3"/>
      <c r="H78" s="3"/>
      <c r="I78" s="33"/>
      <c r="J78" s="3"/>
      <c r="K78" s="10"/>
      <c r="L78" s="29"/>
      <c r="N78" s="22"/>
      <c r="O78" s="22"/>
      <c r="P78" s="22"/>
      <c r="Q78" s="3"/>
      <c r="R78" s="23"/>
      <c r="S78" s="22"/>
      <c r="T78" s="21"/>
      <c r="U78"/>
      <c r="V78"/>
      <c r="W78"/>
      <c r="X78"/>
      <c r="Y78"/>
    </row>
    <row r="79" spans="1:35" s="34" customFormat="1" x14ac:dyDescent="0.25">
      <c r="D79" s="40"/>
      <c r="I79" s="33"/>
      <c r="K79" s="10"/>
      <c r="L79" s="29"/>
      <c r="M79" s="21"/>
      <c r="N79" s="22"/>
      <c r="O79" s="22"/>
      <c r="P79" s="22"/>
      <c r="Q79" s="23"/>
      <c r="R79" s="23"/>
      <c r="S79" s="22"/>
      <c r="T79" s="21"/>
      <c r="U79"/>
      <c r="V79"/>
      <c r="W79"/>
      <c r="X79"/>
      <c r="Y79"/>
    </row>
    <row r="80" spans="1:35" s="10" customFormat="1" x14ac:dyDescent="0.25">
      <c r="I80" s="33"/>
      <c r="L80" s="29"/>
      <c r="M80" s="2"/>
      <c r="T80" s="21"/>
      <c r="AB80" s="12"/>
      <c r="AC80" s="12"/>
      <c r="AD80" s="12"/>
      <c r="AE80" s="12"/>
      <c r="AF80" s="12"/>
      <c r="AG80" s="12"/>
      <c r="AH80" s="12"/>
      <c r="AI80" s="12"/>
    </row>
    <row r="81" spans="1:35" s="10" customFormat="1" x14ac:dyDescent="0.25">
      <c r="A81" s="12"/>
      <c r="B81" s="12"/>
      <c r="C81" s="12"/>
      <c r="D81"/>
      <c r="E81" s="24"/>
      <c r="F81" s="3"/>
      <c r="G81" s="23"/>
      <c r="H81" s="26"/>
      <c r="I81" s="33"/>
      <c r="J81" s="29"/>
      <c r="L81" s="29"/>
      <c r="M81" s="21"/>
      <c r="N81" s="3"/>
      <c r="O81" s="3"/>
      <c r="P81" s="3"/>
      <c r="Q81" s="5"/>
      <c r="R81" s="34"/>
      <c r="S81" s="34"/>
      <c r="T81" s="21"/>
      <c r="U81" s="34"/>
      <c r="V81" s="34"/>
      <c r="W81" s="34"/>
      <c r="X81" s="34"/>
      <c r="Y81" s="34"/>
      <c r="AA81" s="12"/>
      <c r="AB81" s="12"/>
      <c r="AC81" s="12"/>
      <c r="AD81" s="12"/>
      <c r="AE81" s="12"/>
      <c r="AF81" s="12"/>
      <c r="AG81" s="12"/>
      <c r="AH81" s="12"/>
      <c r="AI81" s="12"/>
    </row>
    <row r="82" spans="1:35" s="34" customFormat="1" x14ac:dyDescent="0.25">
      <c r="A82" s="12"/>
      <c r="B82" s="12"/>
      <c r="C82" s="12"/>
      <c r="D82"/>
      <c r="E82" s="24"/>
      <c r="F82" s="3"/>
      <c r="G82" s="23"/>
      <c r="H82" s="26"/>
      <c r="I82" s="33"/>
      <c r="J82" s="22"/>
      <c r="K82" s="10"/>
      <c r="L82" s="29"/>
      <c r="N82" s="3"/>
      <c r="O82" s="10"/>
      <c r="P82" s="10"/>
      <c r="Q82" s="5"/>
      <c r="R82" s="10"/>
      <c r="S82" s="10"/>
      <c r="U82" s="10"/>
      <c r="V82" s="10"/>
      <c r="W82" s="10"/>
      <c r="X82" s="10"/>
      <c r="Y82" s="10"/>
      <c r="Z82" s="10"/>
      <c r="AA82" s="12"/>
    </row>
    <row r="83" spans="1:35" s="10" customFormat="1" x14ac:dyDescent="0.25">
      <c r="A83" s="34"/>
      <c r="B83" s="34"/>
      <c r="C83" s="34"/>
      <c r="D83" s="40"/>
      <c r="E83" s="24"/>
      <c r="F83" s="3"/>
      <c r="G83" s="3"/>
      <c r="H83" s="3"/>
      <c r="I83" s="33"/>
      <c r="J83" s="3"/>
      <c r="L83" s="29"/>
      <c r="M83" s="34"/>
      <c r="N83" s="3"/>
      <c r="O83" s="3"/>
      <c r="P83" s="3"/>
      <c r="Q83" s="5"/>
      <c r="R83" s="34"/>
      <c r="S83" s="34"/>
      <c r="T83" s="34"/>
      <c r="U83" s="34"/>
      <c r="V83" s="34"/>
      <c r="W83" s="34"/>
      <c r="X83" s="34"/>
      <c r="Y83" s="34"/>
      <c r="Z83" s="34"/>
      <c r="AA83" s="34"/>
      <c r="AB83" s="12"/>
      <c r="AC83" s="12"/>
      <c r="AD83" s="12"/>
      <c r="AE83" s="12"/>
      <c r="AF83" s="12"/>
      <c r="AG83" s="12"/>
      <c r="AH83" s="12"/>
      <c r="AI83" s="12"/>
    </row>
    <row r="84" spans="1:35" s="10" customFormat="1" x14ac:dyDescent="0.25">
      <c r="A84" s="12"/>
      <c r="B84" s="12"/>
      <c r="C84" s="12"/>
      <c r="D84"/>
      <c r="I84" s="33"/>
      <c r="AA84" s="12"/>
      <c r="AB84" s="12"/>
      <c r="AC84" s="12"/>
      <c r="AD84" s="12"/>
      <c r="AE84" s="12"/>
      <c r="AF84" s="12"/>
      <c r="AG84" s="12"/>
      <c r="AH84" s="12"/>
      <c r="AI84" s="12"/>
    </row>
    <row r="85" spans="1:35" s="10" customFormat="1" x14ac:dyDescent="0.25">
      <c r="A85" s="12"/>
      <c r="B85" s="12"/>
      <c r="C85" s="12"/>
      <c r="D85"/>
      <c r="U85"/>
      <c r="V85"/>
      <c r="W85"/>
      <c r="X85"/>
      <c r="Y85"/>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9</xdr:col>
                <xdr:colOff>1304925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9</xdr:col>
                <xdr:colOff>1304925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9</xdr:col>
                <xdr:colOff>1304925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9</xdr:col>
                <xdr:colOff>1295400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E20" sqref="E20"/>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36</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179</v>
      </c>
      <c r="D14" s="3">
        <v>3</v>
      </c>
      <c r="E14" t="s">
        <v>180</v>
      </c>
      <c r="F14" t="s">
        <v>181</v>
      </c>
    </row>
    <row r="15" spans="3:6" x14ac:dyDescent="0.25">
      <c r="C15" t="s">
        <v>177</v>
      </c>
      <c r="D15" s="3">
        <v>4</v>
      </c>
      <c r="E15" t="s">
        <v>178</v>
      </c>
      <c r="F15" t="s">
        <v>182</v>
      </c>
    </row>
    <row r="16" spans="3:6" x14ac:dyDescent="0.25">
      <c r="C16" t="s">
        <v>238</v>
      </c>
      <c r="D16" s="3">
        <v>5</v>
      </c>
      <c r="E16" t="s">
        <v>239</v>
      </c>
      <c r="F16" t="s">
        <v>240</v>
      </c>
    </row>
    <row r="17" spans="3:5" x14ac:dyDescent="0.25">
      <c r="C17" t="s">
        <v>233</v>
      </c>
      <c r="D17" s="3">
        <v>6</v>
      </c>
      <c r="E17" t="s">
        <v>84</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50</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41</v>
      </c>
      <c r="D51" s="5">
        <v>0</v>
      </c>
      <c r="E51" t="s">
        <v>51</v>
      </c>
      <c r="F51" t="s">
        <v>87</v>
      </c>
    </row>
    <row r="52" spans="3:6" x14ac:dyDescent="0.25">
      <c r="C52" t="s">
        <v>45</v>
      </c>
      <c r="D52" s="5">
        <v>1</v>
      </c>
      <c r="E52" t="s">
        <v>52</v>
      </c>
      <c r="F52" t="s">
        <v>88</v>
      </c>
    </row>
    <row r="53" spans="3:6" x14ac:dyDescent="0.25">
      <c r="C53" t="s">
        <v>46</v>
      </c>
      <c r="D53" s="5">
        <v>2</v>
      </c>
      <c r="E53" t="s">
        <v>53</v>
      </c>
      <c r="F53" t="s">
        <v>95</v>
      </c>
    </row>
    <row r="54" spans="3:6" x14ac:dyDescent="0.25">
      <c r="C54" t="s">
        <v>113</v>
      </c>
      <c r="D54" s="5">
        <v>3</v>
      </c>
      <c r="E54" t="s">
        <v>54</v>
      </c>
      <c r="F54" t="s">
        <v>96</v>
      </c>
    </row>
    <row r="55" spans="3:6" x14ac:dyDescent="0.25">
      <c r="C55" t="s">
        <v>111</v>
      </c>
      <c r="D55" s="5">
        <v>5</v>
      </c>
      <c r="E55" t="s">
        <v>112</v>
      </c>
      <c r="F55" t="s">
        <v>117</v>
      </c>
    </row>
    <row r="56" spans="3:6" x14ac:dyDescent="0.25">
      <c r="C56"/>
      <c r="D56" s="7" t="s">
        <v>85</v>
      </c>
      <c r="E56" t="s">
        <v>86</v>
      </c>
      <c r="F56" t="s">
        <v>49</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55</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42</v>
      </c>
      <c r="D69" s="3">
        <v>0</v>
      </c>
      <c r="E69" t="s">
        <v>56</v>
      </c>
      <c r="F69" t="s">
        <v>89</v>
      </c>
    </row>
    <row r="70" spans="3:6" x14ac:dyDescent="0.25">
      <c r="C70" t="s">
        <v>48</v>
      </c>
      <c r="D70" s="3">
        <v>1</v>
      </c>
      <c r="E70" t="s">
        <v>57</v>
      </c>
      <c r="F70" t="s">
        <v>90</v>
      </c>
    </row>
    <row r="71" spans="3:6" x14ac:dyDescent="0.25">
      <c r="C71" t="s">
        <v>47</v>
      </c>
      <c r="D71" s="3">
        <v>2</v>
      </c>
      <c r="E71" t="s">
        <v>58</v>
      </c>
      <c r="F71" t="s">
        <v>91</v>
      </c>
    </row>
    <row r="72" spans="3:6" x14ac:dyDescent="0.25">
      <c r="C72" t="s">
        <v>44</v>
      </c>
      <c r="D72" s="3">
        <v>3</v>
      </c>
      <c r="E72" t="s">
        <v>59</v>
      </c>
      <c r="F72" t="s">
        <v>92</v>
      </c>
    </row>
    <row r="73" spans="3:6" x14ac:dyDescent="0.25">
      <c r="C73" t="s">
        <v>127</v>
      </c>
      <c r="D73" s="3">
        <v>3</v>
      </c>
      <c r="E73" t="s">
        <v>128</v>
      </c>
      <c r="F73" t="s">
        <v>129</v>
      </c>
    </row>
    <row r="74" spans="3:6" x14ac:dyDescent="0.25">
      <c r="C74"/>
      <c r="D74" s="6" t="s">
        <v>93</v>
      </c>
      <c r="E74" t="s">
        <v>86</v>
      </c>
      <c r="F74" t="s">
        <v>49</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66</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67</v>
      </c>
      <c r="D105" s="3">
        <v>0</v>
      </c>
      <c r="E105" t="s">
        <v>72</v>
      </c>
      <c r="F105" t="s">
        <v>73</v>
      </c>
    </row>
    <row r="106" spans="3:6" x14ac:dyDescent="0.25">
      <c r="C106" s="5" t="s">
        <v>83</v>
      </c>
      <c r="D106" s="3">
        <v>1</v>
      </c>
      <c r="E106" t="s">
        <v>74</v>
      </c>
      <c r="F106" t="s">
        <v>75</v>
      </c>
    </row>
    <row r="107" spans="3:6" x14ac:dyDescent="0.25">
      <c r="C107" s="5" t="s">
        <v>84</v>
      </c>
      <c r="D107" s="3">
        <v>2</v>
      </c>
      <c r="E107" t="s">
        <v>76</v>
      </c>
      <c r="F107" t="s">
        <v>94</v>
      </c>
    </row>
    <row r="108" spans="3:6" x14ac:dyDescent="0.25">
      <c r="C108" s="5" t="s">
        <v>23</v>
      </c>
      <c r="D108" s="3">
        <v>3</v>
      </c>
      <c r="E108" t="s">
        <v>65</v>
      </c>
      <c r="F108" t="s">
        <v>81</v>
      </c>
    </row>
    <row r="109" spans="3:6" x14ac:dyDescent="0.25">
      <c r="C109" s="5" t="s">
        <v>68</v>
      </c>
      <c r="D109" s="3">
        <v>4</v>
      </c>
      <c r="E109" t="s">
        <v>61</v>
      </c>
      <c r="F109" t="s">
        <v>77</v>
      </c>
    </row>
    <row r="110" spans="3:6" x14ac:dyDescent="0.25">
      <c r="C110" s="5" t="s">
        <v>69</v>
      </c>
      <c r="D110" s="3">
        <v>5</v>
      </c>
      <c r="E110" t="s">
        <v>62</v>
      </c>
      <c r="F110" t="s">
        <v>78</v>
      </c>
    </row>
    <row r="111" spans="3:6" x14ac:dyDescent="0.25">
      <c r="C111" s="5" t="s">
        <v>70</v>
      </c>
      <c r="D111" s="3">
        <v>6</v>
      </c>
      <c r="E111" t="s">
        <v>63</v>
      </c>
      <c r="F111" t="s">
        <v>79</v>
      </c>
    </row>
    <row r="112" spans="3:6" x14ac:dyDescent="0.25">
      <c r="C112" s="5" t="s">
        <v>71</v>
      </c>
      <c r="D112" s="3">
        <v>7</v>
      </c>
      <c r="E112" t="s">
        <v>64</v>
      </c>
      <c r="F112" t="s">
        <v>80</v>
      </c>
    </row>
    <row r="113" spans="3:6" x14ac:dyDescent="0.25">
      <c r="D113" s="6" t="s">
        <v>38</v>
      </c>
      <c r="E113" t="s">
        <v>82</v>
      </c>
      <c r="F113" t="s">
        <v>49</v>
      </c>
    </row>
    <row r="119" spans="3:6" ht="21" x14ac:dyDescent="0.35">
      <c r="C119" s="1" t="s">
        <v>100</v>
      </c>
    </row>
    <row r="124" spans="3:6" ht="15.75" x14ac:dyDescent="0.25">
      <c r="D124" s="4" t="s">
        <v>40</v>
      </c>
      <c r="E124" s="4" t="s">
        <v>99</v>
      </c>
      <c r="F124" s="4" t="s">
        <v>104</v>
      </c>
    </row>
    <row r="125" spans="3:6" x14ac:dyDescent="0.25">
      <c r="D125" s="3">
        <v>0</v>
      </c>
      <c r="E125" t="s">
        <v>67</v>
      </c>
      <c r="F125" t="s">
        <v>118</v>
      </c>
    </row>
    <row r="126" spans="3:6" x14ac:dyDescent="0.25">
      <c r="D126" s="3">
        <v>1</v>
      </c>
      <c r="E126" t="s">
        <v>84</v>
      </c>
      <c r="F126" t="s">
        <v>119</v>
      </c>
    </row>
    <row r="127" spans="3:6" x14ac:dyDescent="0.25">
      <c r="D127" s="3">
        <v>2</v>
      </c>
      <c r="E127" t="s">
        <v>101</v>
      </c>
      <c r="F127" t="s">
        <v>105</v>
      </c>
    </row>
    <row r="128" spans="3:6" x14ac:dyDescent="0.25">
      <c r="D128" s="3">
        <v>3</v>
      </c>
      <c r="E128" t="s">
        <v>101</v>
      </c>
      <c r="F128" t="s">
        <v>106</v>
      </c>
    </row>
    <row r="129" spans="3:6" x14ac:dyDescent="0.25">
      <c r="D129" s="3">
        <v>4</v>
      </c>
      <c r="E129" t="s">
        <v>102</v>
      </c>
      <c r="F129" t="s">
        <v>109</v>
      </c>
    </row>
    <row r="130" spans="3:6" x14ac:dyDescent="0.25">
      <c r="D130" s="3">
        <v>5</v>
      </c>
      <c r="E130" t="s">
        <v>102</v>
      </c>
      <c r="F130" t="s">
        <v>109</v>
      </c>
    </row>
    <row r="131" spans="3:6" x14ac:dyDescent="0.25">
      <c r="D131" s="3">
        <v>6</v>
      </c>
      <c r="E131" t="s">
        <v>103</v>
      </c>
      <c r="F131" t="s">
        <v>107</v>
      </c>
    </row>
    <row r="132" spans="3:6" x14ac:dyDescent="0.25">
      <c r="D132" s="3">
        <v>7</v>
      </c>
      <c r="E132" t="s">
        <v>103</v>
      </c>
      <c r="F132" t="s">
        <v>107</v>
      </c>
    </row>
    <row r="133" spans="3:6" x14ac:dyDescent="0.25">
      <c r="D133" s="3">
        <v>8</v>
      </c>
      <c r="E133" t="s">
        <v>39</v>
      </c>
      <c r="F133" t="s">
        <v>108</v>
      </c>
    </row>
    <row r="134" spans="3:6" x14ac:dyDescent="0.25">
      <c r="D134" s="3">
        <v>9</v>
      </c>
      <c r="E134" t="s">
        <v>39</v>
      </c>
      <c r="F134" t="s">
        <v>108</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2024-09-12T08:11:09Z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